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RENCE\Downloads\"/>
    </mc:Choice>
  </mc:AlternateContent>
  <xr:revisionPtr revIDLastSave="0" documentId="13_ncr:1_{F35CB7AD-5207-4B66-9D8E-0BB8F03437D7}" xr6:coauthVersionLast="47" xr6:coauthVersionMax="47" xr10:uidLastSave="{00000000-0000-0000-0000-000000000000}"/>
  <bookViews>
    <workbookView xWindow="-120" yWindow="-120" windowWidth="20730" windowHeight="11160" activeTab="4" xr2:uid="{1663DA35-708B-400E-BF96-2737C05217A0}"/>
  </bookViews>
  <sheets>
    <sheet name="Submission_Info" sheetId="3" r:id="rId1"/>
    <sheet name="Data_Dictionary" sheetId="4" r:id="rId2"/>
    <sheet name="Raw_Data" sheetId="1" r:id="rId3"/>
    <sheet name="Exam_Tasks" sheetId="2" r:id="rId4"/>
    <sheet name="Recommendation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0" i="2" l="1"/>
  <c r="C149" i="2"/>
  <c r="C148" i="2"/>
  <c r="C147" i="2"/>
  <c r="B150" i="2"/>
  <c r="B149" i="2"/>
  <c r="B148" i="2"/>
  <c r="B147" i="2"/>
  <c r="C146" i="2"/>
  <c r="B146" i="2"/>
  <c r="B141" i="2"/>
  <c r="B34" i="2"/>
  <c r="B97" i="2" s="1"/>
  <c r="B85" i="2"/>
  <c r="B84" i="2"/>
  <c r="B83" i="2"/>
  <c r="B82" i="2"/>
  <c r="B73" i="2"/>
  <c r="B72" i="2"/>
  <c r="B71" i="2"/>
  <c r="B70" i="2"/>
  <c r="B69" i="2"/>
  <c r="B68" i="2"/>
  <c r="B67" i="2"/>
  <c r="B74" i="2" s="1"/>
  <c r="F60" i="2"/>
  <c r="B127" i="2" s="1"/>
  <c r="F61" i="2"/>
  <c r="E61" i="2"/>
  <c r="E60" i="2"/>
  <c r="B126" i="2" s="1"/>
  <c r="D61" i="2"/>
  <c r="D60" i="2"/>
  <c r="B112" i="2" s="1"/>
  <c r="C61" i="2"/>
  <c r="C60" i="2"/>
  <c r="B111" i="2" s="1"/>
  <c r="F20" i="2"/>
  <c r="F19" i="2"/>
  <c r="F18" i="2"/>
  <c r="F17" i="2"/>
  <c r="F16" i="2"/>
  <c r="E16" i="2"/>
  <c r="E20" i="2"/>
  <c r="E19" i="2"/>
  <c r="E18" i="2"/>
  <c r="E17" i="2"/>
  <c r="D20" i="2"/>
  <c r="D19" i="2"/>
  <c r="D18" i="2"/>
  <c r="D17" i="2"/>
  <c r="D16" i="2"/>
  <c r="C20" i="2"/>
  <c r="C19" i="2"/>
  <c r="C18" i="2"/>
  <c r="C17" i="2"/>
  <c r="C16" i="2"/>
  <c r="B20" i="2"/>
  <c r="B19" i="2"/>
  <c r="B18" i="2"/>
  <c r="B17" i="2"/>
  <c r="B16" i="2"/>
  <c r="I35" i="2"/>
  <c r="I34" i="2"/>
  <c r="H34" i="2"/>
  <c r="H35" i="2"/>
  <c r="J35" i="2"/>
  <c r="J34" i="2"/>
  <c r="G34" i="2"/>
  <c r="F34" i="2"/>
  <c r="F35" i="2"/>
  <c r="G35" i="2"/>
  <c r="E35" i="2"/>
  <c r="E34" i="2"/>
  <c r="C34" i="2"/>
  <c r="D34" i="2"/>
  <c r="D35" i="2"/>
  <c r="C35" i="2"/>
  <c r="B35" i="2"/>
  <c r="B60" i="2"/>
  <c r="B53" i="2"/>
  <c r="B52" i="2"/>
  <c r="B54" i="2"/>
  <c r="B29" i="2"/>
  <c r="B28" i="2"/>
  <c r="B27" i="2"/>
  <c r="B26" i="2"/>
  <c r="B25" i="2"/>
  <c r="B61" i="2" l="1"/>
  <c r="B98" i="2"/>
</calcChain>
</file>

<file path=xl/sharedStrings.xml><?xml version="1.0" encoding="utf-8"?>
<sst xmlns="http://schemas.openxmlformats.org/spreadsheetml/2006/main" count="427" uniqueCount="175">
  <si>
    <t>Transaction_ID</t>
  </si>
  <si>
    <t>Day</t>
  </si>
  <si>
    <t>Day_of_Week</t>
  </si>
  <si>
    <t>Gender</t>
  </si>
  <si>
    <t>Student</t>
  </si>
  <si>
    <t>Internet_Hours</t>
  </si>
  <si>
    <t>Printing_Pages</t>
  </si>
  <si>
    <t>Scanning_Pages</t>
  </si>
  <si>
    <t>Gaming</t>
  </si>
  <si>
    <t>Total_Sales</t>
  </si>
  <si>
    <t>T1000</t>
  </si>
  <si>
    <t>Mon</t>
  </si>
  <si>
    <t>Male</t>
  </si>
  <si>
    <t>Yes</t>
  </si>
  <si>
    <t>No</t>
  </si>
  <si>
    <t>T1001</t>
  </si>
  <si>
    <t>Tue</t>
  </si>
  <si>
    <t>Female</t>
  </si>
  <si>
    <t>T1002</t>
  </si>
  <si>
    <t>Wed</t>
  </si>
  <si>
    <t>T1003</t>
  </si>
  <si>
    <t>Thu</t>
  </si>
  <si>
    <t>T1004</t>
  </si>
  <si>
    <t>Fri</t>
  </si>
  <si>
    <t>T1005</t>
  </si>
  <si>
    <t>Sat</t>
  </si>
  <si>
    <t>T1006</t>
  </si>
  <si>
    <t>Sun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</si>
  <si>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</si>
  <si>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</si>
  <si>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</si>
  <si>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</si>
  <si>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</si>
  <si>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</si>
  <si>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</si>
  <si>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</si>
  <si>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</si>
  <si>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</si>
  <si>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</si>
  <si>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</si>
  <si>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</si>
  <si>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</si>
  <si>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</si>
  <si>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</si>
  <si>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</si>
  <si>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</si>
  <si>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</si>
  <si>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</si>
  <si>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</si>
  <si>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</si>
  <si>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</si>
  <si>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</si>
  <si>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</si>
  <si>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</si>
  <si>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</si>
  <si>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</si>
  <si>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</si>
  <si>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</si>
  <si>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</si>
  <si>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</si>
  <si>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</si>
  <si>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</si>
  <si>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</si>
  <si>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</si>
  <si>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</si>
  <si>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</si>
  <si>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</si>
  <si>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</si>
  <si>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</si>
  <si>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</si>
  <si>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</si>
  <si>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1. Inspect and clean the raw data</t>
  </si>
  <si>
    <t>2. Identify and handle missing values</t>
  </si>
  <si>
    <t>Student Name: Caronan, Marcial Lawrence Jr V.</t>
  </si>
  <si>
    <r>
      <t>Year / Section: 4</t>
    </r>
    <r>
      <rPr>
        <vertAlign val="superscript"/>
        <sz val="12"/>
        <color theme="1"/>
        <rFont val="Calibri"/>
        <family val="2"/>
      </rPr>
      <t>th</t>
    </r>
    <r>
      <rPr>
        <sz val="12"/>
        <color theme="1"/>
        <rFont val="Calibri"/>
        <family val="2"/>
      </rPr>
      <t xml:space="preserve"> year BSIT Set A</t>
    </r>
  </si>
  <si>
    <t>Date: September 17, 2026</t>
  </si>
  <si>
    <t>Main Student Tasks</t>
  </si>
  <si>
    <t>I checked all columns in the Raw_Data sheet row by row to look for typing errors, incorrect formatting, or strange characters. I used Excel's Filter tool on the header row to review the values in each column and make sure everything looked correct and clean.</t>
  </si>
  <si>
    <t>I used Excel’s Go To Special then Blanks feature to instantly find any missing or empty cells in the spreadsheet. Once located, I filled in the missing values properly (such as entering zeroes or placeholder text) so they wouldn't mess up my calculations.</t>
  </si>
  <si>
    <t>3. Calculate descriptive statistics</t>
  </si>
  <si>
    <t>Average</t>
  </si>
  <si>
    <t>4 Calculate total, mean, median, minimum, and maximum sales.</t>
  </si>
  <si>
    <t>Sale Statistic</t>
  </si>
  <si>
    <t>Total</t>
  </si>
  <si>
    <t>Mean</t>
  </si>
  <si>
    <t>Median</t>
  </si>
  <si>
    <t>Minimum</t>
  </si>
  <si>
    <t>Maximum</t>
  </si>
  <si>
    <t>5. Compare student vs. non-student customers</t>
  </si>
  <si>
    <t>Sum of Total_Sales</t>
  </si>
  <si>
    <t>(blank)</t>
  </si>
  <si>
    <t>Grand Total</t>
  </si>
  <si>
    <t>6. Analyze sales by day of the week</t>
  </si>
  <si>
    <t>Students</t>
  </si>
  <si>
    <t>Days of Week</t>
  </si>
  <si>
    <t>7. Determine the highest-revenue service</t>
  </si>
  <si>
    <t>Highest Service Revenue</t>
  </si>
  <si>
    <t xml:space="preserve">Printing Pages: </t>
  </si>
  <si>
    <r>
      <t>Scanning Pages:</t>
    </r>
    <r>
      <rPr>
        <sz val="11"/>
        <color theme="1"/>
        <rFont val="Aptos Narrow"/>
        <family val="2"/>
        <scheme val="minor"/>
      </rPr>
      <t xml:space="preserve"> </t>
    </r>
  </si>
  <si>
    <t>8. Create frequency tables</t>
  </si>
  <si>
    <t>Sales</t>
  </si>
  <si>
    <t>Costumer</t>
  </si>
  <si>
    <t>Non-Students</t>
  </si>
  <si>
    <t>Costumers</t>
  </si>
  <si>
    <t>Total Sales</t>
  </si>
  <si>
    <t>Average Sale</t>
  </si>
  <si>
    <t>Total Costumers</t>
  </si>
  <si>
    <t>Internet Hours</t>
  </si>
  <si>
    <t>Costumer_Age</t>
  </si>
  <si>
    <t>Printing Page</t>
  </si>
  <si>
    <t>Scanning Page</t>
  </si>
  <si>
    <t>Average Costumer Age</t>
  </si>
  <si>
    <t>Non-Gaming</t>
  </si>
  <si>
    <t>Values</t>
  </si>
  <si>
    <t>Customer Age</t>
  </si>
  <si>
    <t>Printing Pages</t>
  </si>
  <si>
    <t>Scanning Pages</t>
  </si>
  <si>
    <t>Descriptive Statistic</t>
  </si>
  <si>
    <t>The Highest Service revenue was Printing Pages</t>
  </si>
  <si>
    <t>9. Create charts for sales trends and service revenue</t>
  </si>
  <si>
    <t>Sales Trend</t>
  </si>
  <si>
    <t>Days</t>
  </si>
  <si>
    <t>Total Revenue</t>
  </si>
  <si>
    <t>Service Revenue</t>
  </si>
  <si>
    <t>Monday and Sunday has the Highest Sales of the week, while Wednesday has the lowest Sales</t>
  </si>
  <si>
    <t>Additional(Demoraphics)</t>
  </si>
  <si>
    <t>10. Calculate correlation between Internet Hours and Total Sales</t>
  </si>
  <si>
    <r>
      <t xml:space="preserve">There is a </t>
    </r>
    <r>
      <rPr>
        <b/>
        <sz val="11"/>
        <color theme="1"/>
        <rFont val="Aptos Narrow"/>
        <family val="2"/>
        <scheme val="minor"/>
      </rPr>
      <t>strong positive correlation (r = 0.7556)</t>
    </r>
    <r>
      <rPr>
        <sz val="11"/>
        <color theme="1"/>
        <rFont val="Aptos Narrow"/>
        <family val="2"/>
        <scheme val="minor"/>
      </rPr>
      <t xml:space="preserve"> between Internet Hours and Total Sales. This means that an increase in the number of internet hours used by customers strongly corresponds to higher overall sales for the computer shop.</t>
    </r>
  </si>
  <si>
    <t>Correlation</t>
  </si>
  <si>
    <t>11. Identify the top 5 transactions</t>
  </si>
  <si>
    <t>Revenue</t>
  </si>
  <si>
    <t>Top 5</t>
  </si>
  <si>
    <t>12. Provide evidence-based business recommendations</t>
  </si>
  <si>
    <t>Based on the comprehensive analysis of the computer shop's operations, customer demographics, and service performance, the following evidence-based business recommendations are proposed to optimize revenue and improve operational efficiency:</t>
  </si>
  <si>
    <t>Maximize Internet-Driven Revenue Bundles:</t>
  </si>
  <si>
    <r>
      <t>Evidence:</t>
    </r>
    <r>
      <rPr>
        <sz val="12"/>
        <color rgb="FF000000"/>
        <rFont val="Calibri"/>
        <family val="2"/>
      </rPr>
      <t xml:space="preserve"> Task 10 reveals a </t>
    </r>
    <r>
      <rPr>
        <b/>
        <sz val="12"/>
        <color rgb="FF000000"/>
        <rFont val="Calibri"/>
        <family val="2"/>
      </rPr>
      <t xml:space="preserve">strong positive correlation of </t>
    </r>
  </si>
  <si>
    <t xml:space="preserve"> between Internet Hours and Total Sales, and Task 7 shows heavy utilization across services. </t>
  </si>
  <si>
    <r>
      <t>Recommendation:</t>
    </r>
    <r>
      <rPr>
        <sz val="12"/>
        <color rgb="FF000000"/>
        <rFont val="Calibri"/>
        <family val="2"/>
      </rPr>
      <t xml:space="preserve"> Management should introduce promotional packages or tiered bundles like discounted printing or gaming bundles for customers who purchase extended internet hours, to further leverage this primary driver of customer spending.</t>
    </r>
  </si>
  <si>
    <t>Capitalize on Peak Days:</t>
  </si>
  <si>
    <r>
      <t>Evidence:</t>
    </r>
    <r>
      <rPr>
        <sz val="12"/>
        <color rgb="FF000000"/>
        <rFont val="Calibri"/>
        <family val="2"/>
      </rPr>
      <t xml:space="preserve"> Task 6 indicates that </t>
    </r>
    <r>
      <rPr>
        <b/>
        <sz val="12"/>
        <color rgb="FF000000"/>
        <rFont val="Calibri"/>
        <family val="2"/>
      </rPr>
      <t>Sunday and Monday</t>
    </r>
    <r>
      <rPr>
        <sz val="12"/>
        <color rgb="FF000000"/>
        <rFont val="Calibri"/>
        <family val="2"/>
      </rPr>
      <t xml:space="preserve"> generate the highest sales of </t>
    </r>
  </si>
  <si>
    <r>
      <t xml:space="preserve"> each, while </t>
    </r>
    <r>
      <rPr>
        <b/>
        <sz val="12"/>
        <color rgb="FF000000"/>
        <rFont val="Calibri"/>
        <family val="2"/>
      </rPr>
      <t>Wednesday</t>
    </r>
    <r>
      <rPr>
        <sz val="12"/>
        <color rgb="FF000000"/>
        <rFont val="Calibri"/>
        <family val="2"/>
      </rPr>
      <t xml:space="preserve"> experiences the lowest revenue of </t>
    </r>
  </si>
  <si>
    <r>
      <t>Recommendation:</t>
    </r>
    <r>
      <rPr>
        <sz val="12"/>
        <color rgb="FF000000"/>
        <rFont val="Calibri"/>
        <family val="2"/>
      </rPr>
      <t xml:space="preserve"> To balance out weekly traffic, implement off-peak promotional rates or special discounts on Wednesdays to stimulate customer volume during slower mid-week operations.</t>
    </r>
  </si>
  <si>
    <t>Target Core Demographics (Students):</t>
  </si>
  <si>
    <r>
      <t>Evidence:</t>
    </r>
    <r>
      <rPr>
        <sz val="12"/>
        <color rgb="FF000000"/>
        <rFont val="Calibri"/>
        <family val="2"/>
      </rPr>
      <t xml:space="preserve"> Task 5 and Task 8 show that students comprise much of the customer base as </t>
    </r>
  </si>
  <si>
    <t xml:space="preserve">, or 38 out of 50 customers, driving </t>
  </si>
  <si>
    <t xml:space="preserve"> in total sales. </t>
  </si>
  <si>
    <r>
      <t>Recommendation:</t>
    </r>
    <r>
      <rPr>
        <sz val="12"/>
        <color rgb="FF000000"/>
        <rFont val="Calibri"/>
        <family val="2"/>
      </rPr>
      <t xml:space="preserve"> Retention strategies, such as loyalty reward programs or student-exclusive perks during high-traffic days, should be prioritized to maintain and grow this core revenue stream.</t>
    </r>
  </si>
  <si>
    <t>Optimize Printing Services and Hardware Maintenance:</t>
  </si>
  <si>
    <r>
      <t>Evidence:</t>
    </r>
    <r>
      <rPr>
        <sz val="12"/>
        <color rgb="FF000000"/>
        <rFont val="Calibri"/>
        <family val="2"/>
      </rPr>
      <t xml:space="preserve"> Task 7 identifies </t>
    </r>
    <r>
      <rPr>
        <b/>
        <sz val="12"/>
        <color rgb="FF000000"/>
        <rFont val="Calibri"/>
        <family val="2"/>
      </rPr>
      <t>Printing Pages</t>
    </r>
    <r>
      <rPr>
        <sz val="12"/>
        <color rgb="FF000000"/>
        <rFont val="Calibri"/>
        <family val="2"/>
      </rPr>
      <t xml:space="preserve"> as the highest volume service output of 415 total pages. </t>
    </r>
  </si>
  <si>
    <r>
      <t>Recommendation:</t>
    </r>
    <r>
      <rPr>
        <sz val="12"/>
        <color rgb="FF000000"/>
        <rFont val="Calibri"/>
        <family val="2"/>
      </rPr>
      <t xml:space="preserve"> Ensure that printers are regularly maintained, stocked with paper and ink, and placed in an accessible area to prevent bottlenecks during peak transaction hours, protecting the shop's most frequent revenue-generating service.</t>
    </r>
  </si>
  <si>
    <r>
      <t xml:space="preserve">School Name: </t>
    </r>
    <r>
      <rPr>
        <b/>
        <sz val="12"/>
        <color theme="1"/>
        <rFont val="Times New Roman"/>
        <family val="1"/>
      </rPr>
      <t>Datamex College of Saint Adeline</t>
    </r>
  </si>
  <si>
    <r>
      <t xml:space="preserve">Examination: </t>
    </r>
    <r>
      <rPr>
        <b/>
        <sz val="12"/>
        <color theme="1"/>
        <rFont val="Times New Roman"/>
        <family val="1"/>
      </rPr>
      <t>Data Analysis Midterm Exam (Hands-On Examination)</t>
    </r>
  </si>
  <si>
    <r>
      <t xml:space="preserve">Student Name: </t>
    </r>
    <r>
      <rPr>
        <b/>
        <sz val="12"/>
        <color theme="1"/>
        <rFont val="Times New Roman"/>
        <family val="1"/>
      </rPr>
      <t>Marcial Lawrence Jr V. Caronan</t>
    </r>
  </si>
  <si>
    <r>
      <t xml:space="preserve">Year / Section: </t>
    </r>
    <r>
      <rPr>
        <b/>
        <sz val="12"/>
        <color theme="1"/>
        <rFont val="Times New Roman"/>
        <family val="1"/>
      </rPr>
      <t>4th Year BSIT Set A</t>
    </r>
  </si>
  <si>
    <r>
      <t xml:space="preserve">Date: </t>
    </r>
    <r>
      <rPr>
        <b/>
        <sz val="12"/>
        <color theme="1"/>
        <rFont val="Times New Roman"/>
        <family val="1"/>
      </rPr>
      <t>September 17, 2026</t>
    </r>
  </si>
  <si>
    <t>Variable / Column Name</t>
  </si>
  <si>
    <t>Data Type</t>
  </si>
  <si>
    <t>Description</t>
  </si>
  <si>
    <t>Text / Alphanumeric</t>
  </si>
  <si>
    <t>Unique identification code assigned to each customer transaction (e.g., T1000).</t>
  </si>
  <si>
    <t>Numerical (Integer)</t>
  </si>
  <si>
    <t>The sequential day number of the operation/recording period (e.g., Day 1 to Day 50).</t>
  </si>
  <si>
    <t>Text</t>
  </si>
  <si>
    <t>The specific day of the week when the transaction occurred (e.g., Mon, Tue, Wed, etc.).</t>
  </si>
  <si>
    <t>Customer_Age</t>
  </si>
  <si>
    <t>The age of the customer making the transaction.</t>
  </si>
  <si>
    <t>The gender of the customer (e.g., Male, Female).</t>
  </si>
  <si>
    <t>Text (Yes / No)</t>
  </si>
  <si>
    <t>Indicates whether the customer is a student (Yes) or a non-student (No).</t>
  </si>
  <si>
    <t>The total number of hours the customer spent using the internet service.</t>
  </si>
  <si>
    <t>The number of pages printed by the customer during the transaction.</t>
  </si>
  <si>
    <t>The number of pages scanned by the customer during the transaction.</t>
  </si>
  <si>
    <t>Indicates whether the customer used the gaming service (Yes) or not (No).</t>
  </si>
  <si>
    <t>Numerical (Integer / Currency)</t>
  </si>
  <si>
    <t>The total monetary value or revenue generated from the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</si>
</sst>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3" fillId="0" borderId="5" xfId="0" applyFont="1" applyBorder="1" applyAlignment="1">
      <alignment horizontal="left" vertical="center" indent="1" readingOrder="1"/>
    </xf>
    <xf numFmtId="0" fontId="12" fillId="0" borderId="5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Exam_Tasks!$B$65:$B$66</c:f>
              <c:strCache>
                <c:ptCount val="2"/>
                <c:pt idx="0">
                  <c:v>Sales Trend</c:v>
                </c:pt>
                <c:pt idx="1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Exam_Tasks!$A$67:$A$73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Exam_Tasks!$B$67:$B$73</c:f>
              <c:numCache>
                <c:formatCode>General</c:formatCode>
                <c:ptCount val="7"/>
                <c:pt idx="0">
                  <c:v>1500</c:v>
                </c:pt>
                <c:pt idx="1">
                  <c:v>1410</c:v>
                </c:pt>
                <c:pt idx="2">
                  <c:v>1215</c:v>
                </c:pt>
                <c:pt idx="3">
                  <c:v>1305</c:v>
                </c:pt>
                <c:pt idx="4">
                  <c:v>1450</c:v>
                </c:pt>
                <c:pt idx="5">
                  <c:v>1310</c:v>
                </c:pt>
                <c:pt idx="6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3-4384-AFE2-D8FB0405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94751"/>
        <c:axId val="1025131007"/>
      </c:lineChart>
      <c:catAx>
        <c:axId val="117929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131007"/>
        <c:crosses val="autoZero"/>
        <c:auto val="1"/>
        <c:lblAlgn val="ctr"/>
        <c:lblOffset val="100"/>
        <c:noMultiLvlLbl val="0"/>
      </c:catAx>
      <c:valAx>
        <c:axId val="10251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9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Exam_Tasks!$B$81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Exam_Tasks!$A$82:$A$85</c:f>
              <c:strCache>
                <c:ptCount val="4"/>
                <c:pt idx="0">
                  <c:v>Internet Hours</c:v>
                </c:pt>
                <c:pt idx="1">
                  <c:v>Printing Page</c:v>
                </c:pt>
                <c:pt idx="2">
                  <c:v>Scanning Page</c:v>
                </c:pt>
                <c:pt idx="3">
                  <c:v>Gaming</c:v>
                </c:pt>
              </c:strCache>
            </c:strRef>
          </c:cat>
          <c:val>
            <c:numRef>
              <c:f>Exam_Tasks!$B$82:$B$85</c:f>
              <c:numCache>
                <c:formatCode>General</c:formatCode>
                <c:ptCount val="4"/>
                <c:pt idx="0">
                  <c:v>199</c:v>
                </c:pt>
                <c:pt idx="1">
                  <c:v>415</c:v>
                </c:pt>
                <c:pt idx="2">
                  <c:v>180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63-430F-A61B-EFB88199C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732047"/>
        <c:axId val="1025122367"/>
      </c:barChart>
      <c:catAx>
        <c:axId val="115673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122367"/>
        <c:crosses val="autoZero"/>
        <c:auto val="1"/>
        <c:lblAlgn val="ctr"/>
        <c:lblOffset val="100"/>
        <c:noMultiLvlLbl val="0"/>
      </c:catAx>
      <c:valAx>
        <c:axId val="102512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73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Exam_Tasks!$B$96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CBC-475F-BF7F-19CD6D2040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4CBC-475F-BF7F-19CD6D2040C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CBC-475F-BF7F-19CD6D2040C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CBC-475F-BF7F-19CD6D2040C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Exam_Tasks!$A$97:$A$98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Exam_Tasks!$B$97:$B$98</c:f>
              <c:numCache>
                <c:formatCode>General</c:formatCode>
                <c:ptCount val="2"/>
                <c:pt idx="0">
                  <c:v>38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C-475F-BF7F-19CD6D2040C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9E7-49A4-9A00-54D261BFE8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9E7-49A4-9A00-54D261BFE81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9E7-49A4-9A00-54D261BFE81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9E7-49A4-9A00-54D261BFE81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Exam_Tasks!$A$111:$A$112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Exam_Tasks!$B$111:$B$112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7-49A4-9A00-54D261BFE81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gaming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340-4E96-9510-F99390757B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340-4E96-9510-F99390757B3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340-4E96-9510-F99390757B3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340-4E96-9510-F99390757B3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Exam_Tasks!$A$126:$A$127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Exam_Tasks!$B$126:$B$127</c:f>
              <c:numCache>
                <c:formatCode>General</c:formatCode>
                <c:ptCount val="2"/>
                <c:pt idx="0">
                  <c:v>14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0-4E96-9510-F99390757B3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4762</xdr:rowOff>
    </xdr:from>
    <xdr:to>
      <xdr:col>9</xdr:col>
      <xdr:colOff>38100</xdr:colOff>
      <xdr:row>78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704378-3763-787D-4856-4747EB219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79</xdr:row>
      <xdr:rowOff>4762</xdr:rowOff>
    </xdr:from>
    <xdr:to>
      <xdr:col>8</xdr:col>
      <xdr:colOff>104775</xdr:colOff>
      <xdr:row>93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1B5CBD-4D57-236B-EF28-4BD90FA1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94</xdr:row>
      <xdr:rowOff>14287</xdr:rowOff>
    </xdr:from>
    <xdr:to>
      <xdr:col>8</xdr:col>
      <xdr:colOff>104775</xdr:colOff>
      <xdr:row>108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9BAA05-542B-5E0B-C849-E34CB7269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109</xdr:row>
      <xdr:rowOff>14287</xdr:rowOff>
    </xdr:from>
    <xdr:to>
      <xdr:col>8</xdr:col>
      <xdr:colOff>104775</xdr:colOff>
      <xdr:row>123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86AF90-A485-3F9D-9680-FA3F592D6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4762</xdr:colOff>
      <xdr:row>124</xdr:row>
      <xdr:rowOff>23812</xdr:rowOff>
    </xdr:from>
    <xdr:to>
      <xdr:col>8</xdr:col>
      <xdr:colOff>100012</xdr:colOff>
      <xdr:row>138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9210-BC63-6063-CF1E-CC75ADEC0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3</xdr:row>
      <xdr:rowOff>9525</xdr:rowOff>
    </xdr:from>
    <xdr:to>
      <xdr:col>7</xdr:col>
      <xdr:colOff>95250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FBD76B-F7FE-4AC4-9F28-EFB2289A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609600"/>
          <a:ext cx="4095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552450</xdr:colOff>
      <xdr:row>7</xdr:row>
      <xdr:rowOff>19050</xdr:rowOff>
    </xdr:from>
    <xdr:to>
      <xdr:col>9</xdr:col>
      <xdr:colOff>361950</xdr:colOff>
      <xdr:row>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BE4617-C6D1-49C8-966B-B8F0CA38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1419225"/>
          <a:ext cx="4191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304800</xdr:colOff>
      <xdr:row>8</xdr:row>
      <xdr:rowOff>28575</xdr:rowOff>
    </xdr:from>
    <xdr:to>
      <xdr:col>7</xdr:col>
      <xdr:colOff>114300</xdr:colOff>
      <xdr:row>9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409A03-4CFD-4555-B9E2-9E523489B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628775"/>
          <a:ext cx="41910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581025</xdr:colOff>
      <xdr:row>11</xdr:row>
      <xdr:rowOff>19050</xdr:rowOff>
    </xdr:from>
    <xdr:to>
      <xdr:col>5</xdr:col>
      <xdr:colOff>238125</xdr:colOff>
      <xdr:row>12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40A842-208C-43C5-BE2B-3C6EE93E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1041975"/>
          <a:ext cx="3048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495300</xdr:colOff>
      <xdr:row>13</xdr:row>
      <xdr:rowOff>19050</xdr:rowOff>
    </xdr:from>
    <xdr:to>
      <xdr:col>2</xdr:col>
      <xdr:colOff>342900</xdr:colOff>
      <xdr:row>14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F827AB-71A3-4A55-B9BD-181C2D1EA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2619375"/>
          <a:ext cx="4572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CSA-PC 07" refreshedDate="46282.824211226849" createdVersion="8" refreshedVersion="8" minRefreshableVersion="3" recordCount="51" xr:uid="{BF1C300F-D167-4041-A8BB-A6DBE8BFC8F1}">
  <cacheSource type="worksheet">
    <worksheetSource ref="A1:K1048576" sheet="Raw_Data"/>
  </cacheSource>
  <cacheFields count="11">
    <cacheField name="Transaction_ID" numFmtId="0">
      <sharedItems containsBlank="1"/>
    </cacheField>
    <cacheField name="Day" numFmtId="0">
      <sharedItems containsString="0" containsBlank="1" containsNumber="1" containsInteger="1" minValue="1" maxValue="50"/>
    </cacheField>
    <cacheField name="Day_of_Week" numFmtId="0">
      <sharedItems containsBlank="1" count="8">
        <s v="Mon"/>
        <s v="Tue"/>
        <s v="Wed"/>
        <s v="Thu"/>
        <s v="Fri"/>
        <s v="Sat"/>
        <s v="Sun"/>
        <m/>
      </sharedItems>
    </cacheField>
    <cacheField name="Customer_Age" numFmtId="0">
      <sharedItems containsString="0" containsBlank="1" containsNumber="1" containsInteger="1" minValue="17" maxValue="35"/>
    </cacheField>
    <cacheField name="Gender" numFmtId="0">
      <sharedItems containsBlank="1"/>
    </cacheField>
    <cacheField name="Student" numFmtId="0">
      <sharedItems containsBlank="1" count="3">
        <s v="Yes"/>
        <s v="No"/>
        <m/>
      </sharedItems>
    </cacheField>
    <cacheField name="Internet_Hours" numFmtId="0">
      <sharedItems containsString="0" containsBlank="1" containsNumber="1" containsInteger="1" minValue="1" maxValue="8" count="9">
        <n v="5"/>
        <n v="8"/>
        <n v="7"/>
        <n v="3"/>
        <n v="1"/>
        <n v="4"/>
        <n v="6"/>
        <n v="2"/>
        <m/>
      </sharedItems>
    </cacheField>
    <cacheField name="Printing_Pages" numFmtId="0">
      <sharedItems containsString="0" containsBlank="1" containsNumber="1" containsInteger="1" minValue="0" maxValue="15" count="17">
        <n v="11"/>
        <n v="0"/>
        <n v="1"/>
        <n v="2"/>
        <n v="10"/>
        <n v="6"/>
        <n v="15"/>
        <n v="14"/>
        <n v="12"/>
        <n v="3"/>
        <n v="5"/>
        <n v="8"/>
        <n v="9"/>
        <n v="13"/>
        <n v="4"/>
        <n v="7"/>
        <m/>
      </sharedItems>
    </cacheField>
    <cacheField name="Scanning_Pages" numFmtId="0">
      <sharedItems containsString="0" containsBlank="1" containsNumber="1" containsInteger="1" minValue="0" maxValue="7"/>
    </cacheField>
    <cacheField name="Gaming" numFmtId="0">
      <sharedItems containsBlank="1"/>
    </cacheField>
    <cacheField name="Total_Sales" numFmtId="0">
      <sharedItems containsString="0" containsBlank="1" containsNumber="1" containsInteger="1" minValue="65" maxValue="365" count="34">
        <n v="220"/>
        <n v="270"/>
        <n v="180"/>
        <n v="205"/>
        <n v="195"/>
        <n v="160"/>
        <n v="225"/>
        <n v="150"/>
        <n v="200"/>
        <n v="250"/>
        <n v="140"/>
        <n v="155"/>
        <n v="145"/>
        <n v="235"/>
        <n v="95"/>
        <n v="65"/>
        <n v="255"/>
        <n v="130"/>
        <n v="285"/>
        <n v="165"/>
        <n v="365"/>
        <n v="340"/>
        <n v="230"/>
        <n v="190"/>
        <n v="210"/>
        <n v="310"/>
        <n v="260"/>
        <n v="265"/>
        <n v="240"/>
        <n v="90"/>
        <n v="110"/>
        <n v="115"/>
        <n v="8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T1000"/>
    <n v="1"/>
    <x v="0"/>
    <n v="29"/>
    <s v="Male"/>
    <x v="0"/>
    <x v="0"/>
    <x v="0"/>
    <n v="4"/>
    <s v="No"/>
    <x v="0"/>
  </r>
  <r>
    <s v="T1001"/>
    <n v="2"/>
    <x v="1"/>
    <n v="22"/>
    <s v="Female"/>
    <x v="0"/>
    <x v="1"/>
    <x v="1"/>
    <n v="7"/>
    <s v="No"/>
    <x v="1"/>
  </r>
  <r>
    <s v="T1002"/>
    <n v="3"/>
    <x v="2"/>
    <n v="27"/>
    <s v="Female"/>
    <x v="0"/>
    <x v="2"/>
    <x v="2"/>
    <n v="0"/>
    <s v="No"/>
    <x v="2"/>
  </r>
  <r>
    <s v="T1003"/>
    <n v="4"/>
    <x v="3"/>
    <n v="18"/>
    <s v="Female"/>
    <x v="1"/>
    <x v="3"/>
    <x v="3"/>
    <n v="6"/>
    <s v="Yes"/>
    <x v="3"/>
  </r>
  <r>
    <s v="T1004"/>
    <n v="5"/>
    <x v="4"/>
    <n v="18"/>
    <s v="Female"/>
    <x v="0"/>
    <x v="4"/>
    <x v="4"/>
    <n v="6"/>
    <s v="Yes"/>
    <x v="4"/>
  </r>
  <r>
    <s v="T1005"/>
    <n v="6"/>
    <x v="5"/>
    <n v="19"/>
    <s v="Female"/>
    <x v="0"/>
    <x v="5"/>
    <x v="4"/>
    <n v="1"/>
    <s v="No"/>
    <x v="5"/>
  </r>
  <r>
    <s v="T1006"/>
    <n v="7"/>
    <x v="6"/>
    <n v="18"/>
    <s v="Female"/>
    <x v="1"/>
    <x v="3"/>
    <x v="4"/>
    <n v="4"/>
    <s v="Yes"/>
    <x v="6"/>
  </r>
  <r>
    <s v="T1007"/>
    <n v="8"/>
    <x v="0"/>
    <n v="29"/>
    <s v="Male"/>
    <x v="0"/>
    <x v="5"/>
    <x v="5"/>
    <n v="2"/>
    <s v="No"/>
    <x v="7"/>
  </r>
  <r>
    <s v="T1008"/>
    <n v="9"/>
    <x v="1"/>
    <n v="18"/>
    <s v="Male"/>
    <x v="0"/>
    <x v="4"/>
    <x v="6"/>
    <n v="5"/>
    <s v="No"/>
    <x v="7"/>
  </r>
  <r>
    <s v="T1009"/>
    <n v="10"/>
    <x v="2"/>
    <n v="33"/>
    <s v="Female"/>
    <x v="0"/>
    <x v="6"/>
    <x v="1"/>
    <n v="5"/>
    <s v="No"/>
    <x v="8"/>
  </r>
  <r>
    <s v="T1010"/>
    <n v="11"/>
    <x v="3"/>
    <n v="23"/>
    <s v="Male"/>
    <x v="0"/>
    <x v="3"/>
    <x v="7"/>
    <n v="6"/>
    <s v="No"/>
    <x v="3"/>
  </r>
  <r>
    <s v="T1011"/>
    <n v="12"/>
    <x v="4"/>
    <n v="28"/>
    <s v="Female"/>
    <x v="0"/>
    <x v="5"/>
    <x v="5"/>
    <n v="6"/>
    <s v="Yes"/>
    <x v="9"/>
  </r>
  <r>
    <s v="T1012"/>
    <n v="13"/>
    <x v="5"/>
    <n v="33"/>
    <s v="Male"/>
    <x v="1"/>
    <x v="7"/>
    <x v="4"/>
    <n v="4"/>
    <s v="No"/>
    <x v="10"/>
  </r>
  <r>
    <s v="T1013"/>
    <n v="14"/>
    <x v="6"/>
    <n v="27"/>
    <s v="Female"/>
    <x v="0"/>
    <x v="3"/>
    <x v="8"/>
    <n v="2"/>
    <s v="No"/>
    <x v="11"/>
  </r>
  <r>
    <s v="T1014"/>
    <n v="15"/>
    <x v="0"/>
    <n v="30"/>
    <s v="Male"/>
    <x v="0"/>
    <x v="2"/>
    <x v="9"/>
    <n v="0"/>
    <s v="Yes"/>
    <x v="9"/>
  </r>
  <r>
    <s v="T1015"/>
    <n v="16"/>
    <x v="1"/>
    <n v="18"/>
    <s v="Male"/>
    <x v="1"/>
    <x v="7"/>
    <x v="10"/>
    <n v="7"/>
    <s v="No"/>
    <x v="12"/>
  </r>
  <r>
    <s v="T1016"/>
    <n v="17"/>
    <x v="2"/>
    <n v="17"/>
    <s v="Male"/>
    <x v="0"/>
    <x v="1"/>
    <x v="2"/>
    <n v="3"/>
    <s v="No"/>
    <x v="13"/>
  </r>
  <r>
    <s v="T1017"/>
    <n v="18"/>
    <x v="3"/>
    <n v="19"/>
    <s v="Male"/>
    <x v="0"/>
    <x v="4"/>
    <x v="4"/>
    <n v="2"/>
    <s v="No"/>
    <x v="14"/>
  </r>
  <r>
    <s v="T1018"/>
    <n v="19"/>
    <x v="4"/>
    <n v="35"/>
    <s v="Male"/>
    <x v="0"/>
    <x v="3"/>
    <x v="11"/>
    <n v="3"/>
    <s v="No"/>
    <x v="12"/>
  </r>
  <r>
    <s v="T1019"/>
    <n v="20"/>
    <x v="5"/>
    <n v="30"/>
    <s v="Male"/>
    <x v="1"/>
    <x v="4"/>
    <x v="11"/>
    <n v="0"/>
    <s v="No"/>
    <x v="15"/>
  </r>
  <r>
    <s v="T1020"/>
    <n v="21"/>
    <x v="6"/>
    <n v="34"/>
    <s v="Male"/>
    <x v="0"/>
    <x v="7"/>
    <x v="6"/>
    <n v="7"/>
    <s v="Yes"/>
    <x v="16"/>
  </r>
  <r>
    <s v="T1021"/>
    <n v="22"/>
    <x v="0"/>
    <n v="32"/>
    <s v="Male"/>
    <x v="0"/>
    <x v="3"/>
    <x v="12"/>
    <n v="1"/>
    <s v="No"/>
    <x v="17"/>
  </r>
  <r>
    <s v="T1022"/>
    <n v="23"/>
    <x v="1"/>
    <n v="33"/>
    <s v="Male"/>
    <x v="0"/>
    <x v="1"/>
    <x v="6"/>
    <n v="1"/>
    <s v="No"/>
    <x v="18"/>
  </r>
  <r>
    <s v="T1023"/>
    <n v="24"/>
    <x v="2"/>
    <n v="27"/>
    <s v="Female"/>
    <x v="0"/>
    <x v="5"/>
    <x v="0"/>
    <n v="1"/>
    <s v="No"/>
    <x v="19"/>
  </r>
  <r>
    <s v="T1024"/>
    <n v="25"/>
    <x v="3"/>
    <n v="30"/>
    <s v="Female"/>
    <x v="1"/>
    <x v="7"/>
    <x v="12"/>
    <n v="0"/>
    <s v="No"/>
    <x v="14"/>
  </r>
  <r>
    <s v="T1025"/>
    <n v="26"/>
    <x v="4"/>
    <n v="29"/>
    <s v="Female"/>
    <x v="0"/>
    <x v="1"/>
    <x v="6"/>
    <n v="3"/>
    <s v="Yes"/>
    <x v="20"/>
  </r>
  <r>
    <s v="T1026"/>
    <n v="27"/>
    <x v="5"/>
    <n v="28"/>
    <s v="Female"/>
    <x v="1"/>
    <x v="1"/>
    <x v="7"/>
    <n v="7"/>
    <s v="No"/>
    <x v="21"/>
  </r>
  <r>
    <s v="T1027"/>
    <n v="28"/>
    <x v="6"/>
    <n v="35"/>
    <s v="Female"/>
    <x v="0"/>
    <x v="0"/>
    <x v="6"/>
    <n v="3"/>
    <s v="No"/>
    <x v="22"/>
  </r>
  <r>
    <s v="T1028"/>
    <n v="29"/>
    <x v="0"/>
    <n v="26"/>
    <s v="Male"/>
    <x v="0"/>
    <x v="2"/>
    <x v="9"/>
    <n v="0"/>
    <s v="No"/>
    <x v="23"/>
  </r>
  <r>
    <s v="T1029"/>
    <n v="30"/>
    <x v="1"/>
    <n v="27"/>
    <s v="Male"/>
    <x v="0"/>
    <x v="5"/>
    <x v="7"/>
    <n v="4"/>
    <s v="No"/>
    <x v="24"/>
  </r>
  <r>
    <s v="T1030"/>
    <n v="31"/>
    <x v="2"/>
    <n v="30"/>
    <s v="Female"/>
    <x v="1"/>
    <x v="5"/>
    <x v="1"/>
    <n v="5"/>
    <s v="Yes"/>
    <x v="24"/>
  </r>
  <r>
    <s v="T1031"/>
    <n v="32"/>
    <x v="3"/>
    <n v="34"/>
    <s v="Female"/>
    <x v="1"/>
    <x v="6"/>
    <x v="7"/>
    <n v="3"/>
    <s v="Yes"/>
    <x v="25"/>
  </r>
  <r>
    <s v="T1032"/>
    <n v="33"/>
    <x v="4"/>
    <n v="23"/>
    <s v="Female"/>
    <x v="1"/>
    <x v="2"/>
    <x v="13"/>
    <n v="2"/>
    <s v="No"/>
    <x v="26"/>
  </r>
  <r>
    <s v="T1033"/>
    <n v="34"/>
    <x v="5"/>
    <n v="31"/>
    <s v="Female"/>
    <x v="0"/>
    <x v="3"/>
    <x v="5"/>
    <n v="7"/>
    <s v="Yes"/>
    <x v="13"/>
  </r>
  <r>
    <s v="T1034"/>
    <n v="35"/>
    <x v="6"/>
    <n v="24"/>
    <s v="Male"/>
    <x v="1"/>
    <x v="1"/>
    <x v="10"/>
    <n v="1"/>
    <s v="No"/>
    <x v="13"/>
  </r>
  <r>
    <s v="T1035"/>
    <n v="36"/>
    <x v="0"/>
    <n v="32"/>
    <s v="Male"/>
    <x v="0"/>
    <x v="0"/>
    <x v="7"/>
    <n v="3"/>
    <s v="No"/>
    <x v="6"/>
  </r>
  <r>
    <s v="T1036"/>
    <n v="37"/>
    <x v="1"/>
    <n v="23"/>
    <s v="Male"/>
    <x v="0"/>
    <x v="0"/>
    <x v="8"/>
    <n v="2"/>
    <s v="Yes"/>
    <x v="27"/>
  </r>
  <r>
    <s v="T1037"/>
    <n v="38"/>
    <x v="2"/>
    <n v="21"/>
    <s v="Female"/>
    <x v="0"/>
    <x v="7"/>
    <x v="14"/>
    <n v="7"/>
    <s v="No"/>
    <x v="10"/>
  </r>
  <r>
    <s v="T1038"/>
    <n v="39"/>
    <x v="3"/>
    <n v="25"/>
    <s v="Male"/>
    <x v="0"/>
    <x v="5"/>
    <x v="11"/>
    <n v="4"/>
    <s v="Yes"/>
    <x v="28"/>
  </r>
  <r>
    <s v="T1039"/>
    <n v="40"/>
    <x v="4"/>
    <n v="24"/>
    <s v="Male"/>
    <x v="1"/>
    <x v="4"/>
    <x v="13"/>
    <n v="0"/>
    <s v="No"/>
    <x v="29"/>
  </r>
  <r>
    <s v="T1040"/>
    <n v="41"/>
    <x v="5"/>
    <n v="33"/>
    <s v="Female"/>
    <x v="0"/>
    <x v="4"/>
    <x v="6"/>
    <n v="1"/>
    <s v="No"/>
    <x v="30"/>
  </r>
  <r>
    <s v="T1041"/>
    <n v="42"/>
    <x v="6"/>
    <n v="24"/>
    <s v="Male"/>
    <x v="0"/>
    <x v="6"/>
    <x v="1"/>
    <n v="6"/>
    <s v="No"/>
    <x v="24"/>
  </r>
  <r>
    <s v="T1042"/>
    <n v="43"/>
    <x v="0"/>
    <n v="17"/>
    <s v="Male"/>
    <x v="0"/>
    <x v="3"/>
    <x v="14"/>
    <n v="2"/>
    <s v="No"/>
    <x v="31"/>
  </r>
  <r>
    <s v="T1043"/>
    <n v="44"/>
    <x v="1"/>
    <n v="18"/>
    <s v="Male"/>
    <x v="0"/>
    <x v="4"/>
    <x v="3"/>
    <n v="5"/>
    <s v="No"/>
    <x v="32"/>
  </r>
  <r>
    <s v="T1044"/>
    <n v="45"/>
    <x v="2"/>
    <n v="18"/>
    <s v="Male"/>
    <x v="0"/>
    <x v="4"/>
    <x v="3"/>
    <n v="5"/>
    <s v="No"/>
    <x v="32"/>
  </r>
  <r>
    <s v="T1045"/>
    <n v="46"/>
    <x v="3"/>
    <n v="34"/>
    <s v="Male"/>
    <x v="0"/>
    <x v="4"/>
    <x v="8"/>
    <n v="7"/>
    <s v="No"/>
    <x v="11"/>
  </r>
  <r>
    <s v="T1046"/>
    <n v="47"/>
    <x v="4"/>
    <n v="29"/>
    <s v="Female"/>
    <x v="0"/>
    <x v="4"/>
    <x v="4"/>
    <n v="1"/>
    <s v="Yes"/>
    <x v="12"/>
  </r>
  <r>
    <s v="T1047"/>
    <n v="48"/>
    <x v="5"/>
    <n v="32"/>
    <s v="Female"/>
    <x v="0"/>
    <x v="1"/>
    <x v="1"/>
    <n v="6"/>
    <s v="No"/>
    <x v="26"/>
  </r>
  <r>
    <s v="T1048"/>
    <n v="49"/>
    <x v="6"/>
    <n v="32"/>
    <s v="Male"/>
    <x v="0"/>
    <x v="4"/>
    <x v="15"/>
    <n v="7"/>
    <s v="Yes"/>
    <x v="23"/>
  </r>
  <r>
    <s v="T1049"/>
    <n v="50"/>
    <x v="0"/>
    <n v="35"/>
    <s v="Male"/>
    <x v="0"/>
    <x v="5"/>
    <x v="8"/>
    <n v="6"/>
    <s v="No"/>
    <x v="0"/>
  </r>
  <r>
    <m/>
    <m/>
    <x v="7"/>
    <m/>
    <m/>
    <x v="2"/>
    <x v="8"/>
    <x v="16"/>
    <m/>
    <m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69A4F-6790-4421-B612-B9BCF1EC480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 of Week">
  <location ref="A38:B47" firstHeaderRow="1" firstDataRow="1" firstDataCol="1"/>
  <pivotFields count="11">
    <pivotField showAll="0"/>
    <pivotField showAll="0"/>
    <pivotField axis="axisRow" showAll="0">
      <items count="9">
        <item x="6"/>
        <item x="0"/>
        <item x="1"/>
        <item x="2"/>
        <item x="3"/>
        <item x="4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5">
        <item x="15"/>
        <item x="32"/>
        <item x="29"/>
        <item x="14"/>
        <item x="30"/>
        <item x="31"/>
        <item x="17"/>
        <item x="10"/>
        <item x="12"/>
        <item x="7"/>
        <item x="11"/>
        <item x="5"/>
        <item x="19"/>
        <item x="2"/>
        <item x="23"/>
        <item x="4"/>
        <item x="8"/>
        <item x="3"/>
        <item x="24"/>
        <item x="0"/>
        <item x="6"/>
        <item x="22"/>
        <item x="13"/>
        <item x="28"/>
        <item x="9"/>
        <item x="16"/>
        <item x="26"/>
        <item x="27"/>
        <item x="1"/>
        <item x="18"/>
        <item x="25"/>
        <item x="21"/>
        <item x="20"/>
        <item x="3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CDB-0F37-4F75-AF77-9227E2546AF7}">
  <dimension ref="A1:A9"/>
  <sheetViews>
    <sheetView workbookViewId="0">
      <selection activeCell="G14" sqref="G14"/>
    </sheetView>
  </sheetViews>
  <sheetFormatPr defaultRowHeight="15" x14ac:dyDescent="0.25"/>
  <sheetData>
    <row r="1" spans="1:1" ht="15.75" x14ac:dyDescent="0.25">
      <c r="A1" s="20" t="s">
        <v>150</v>
      </c>
    </row>
    <row r="3" spans="1:1" ht="15.75" x14ac:dyDescent="0.25">
      <c r="A3" s="20" t="s">
        <v>151</v>
      </c>
    </row>
    <row r="5" spans="1:1" ht="15.75" x14ac:dyDescent="0.25">
      <c r="A5" s="20" t="s">
        <v>152</v>
      </c>
    </row>
    <row r="7" spans="1:1" ht="15.75" x14ac:dyDescent="0.25">
      <c r="A7" s="20" t="s">
        <v>153</v>
      </c>
    </row>
    <row r="9" spans="1:1" ht="15.75" x14ac:dyDescent="0.25">
      <c r="A9" s="20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BF3-507A-4D37-86C0-7EF3F7CF082B}">
  <dimension ref="A1:C12"/>
  <sheetViews>
    <sheetView workbookViewId="0">
      <selection activeCell="C16" sqref="C16"/>
    </sheetView>
  </sheetViews>
  <sheetFormatPr defaultRowHeight="15" x14ac:dyDescent="0.25"/>
  <cols>
    <col min="1" max="1" width="26.7109375" bestFit="1" customWidth="1"/>
    <col min="2" max="2" width="31" bestFit="1" customWidth="1"/>
    <col min="3" max="3" width="85.7109375" bestFit="1" customWidth="1"/>
  </cols>
  <sheetData>
    <row r="1" spans="1:3" ht="15.75" thickBot="1" x14ac:dyDescent="0.3">
      <c r="A1" s="21" t="s">
        <v>155</v>
      </c>
      <c r="B1" s="21" t="s">
        <v>156</v>
      </c>
      <c r="C1" s="21" t="s">
        <v>157</v>
      </c>
    </row>
    <row r="2" spans="1:3" ht="15.75" thickBot="1" x14ac:dyDescent="0.3">
      <c r="A2" s="21" t="s">
        <v>0</v>
      </c>
      <c r="B2" s="22" t="s">
        <v>158</v>
      </c>
      <c r="C2" s="22" t="s">
        <v>159</v>
      </c>
    </row>
    <row r="3" spans="1:3" ht="15.75" thickBot="1" x14ac:dyDescent="0.3">
      <c r="A3" s="21" t="s">
        <v>1</v>
      </c>
      <c r="B3" s="22" t="s">
        <v>160</v>
      </c>
      <c r="C3" s="22" t="s">
        <v>161</v>
      </c>
    </row>
    <row r="4" spans="1:3" ht="15.75" thickBot="1" x14ac:dyDescent="0.3">
      <c r="A4" s="21" t="s">
        <v>2</v>
      </c>
      <c r="B4" s="22" t="s">
        <v>162</v>
      </c>
      <c r="C4" s="22" t="s">
        <v>163</v>
      </c>
    </row>
    <row r="5" spans="1:3" ht="15.75" thickBot="1" x14ac:dyDescent="0.3">
      <c r="A5" s="21" t="s">
        <v>164</v>
      </c>
      <c r="B5" s="22" t="s">
        <v>160</v>
      </c>
      <c r="C5" s="22" t="s">
        <v>165</v>
      </c>
    </row>
    <row r="6" spans="1:3" ht="15.75" thickBot="1" x14ac:dyDescent="0.3">
      <c r="A6" s="21" t="s">
        <v>3</v>
      </c>
      <c r="B6" s="22" t="s">
        <v>162</v>
      </c>
      <c r="C6" s="22" t="s">
        <v>166</v>
      </c>
    </row>
    <row r="7" spans="1:3" ht="15.75" thickBot="1" x14ac:dyDescent="0.3">
      <c r="A7" s="21" t="s">
        <v>4</v>
      </c>
      <c r="B7" s="22" t="s">
        <v>167</v>
      </c>
      <c r="C7" s="22" t="s">
        <v>168</v>
      </c>
    </row>
    <row r="8" spans="1:3" ht="15.75" thickBot="1" x14ac:dyDescent="0.3">
      <c r="A8" s="21" t="s">
        <v>5</v>
      </c>
      <c r="B8" s="22" t="s">
        <v>160</v>
      </c>
      <c r="C8" s="22" t="s">
        <v>169</v>
      </c>
    </row>
    <row r="9" spans="1:3" ht="15.75" thickBot="1" x14ac:dyDescent="0.3">
      <c r="A9" s="21" t="s">
        <v>6</v>
      </c>
      <c r="B9" s="22" t="s">
        <v>160</v>
      </c>
      <c r="C9" s="22" t="s">
        <v>170</v>
      </c>
    </row>
    <row r="10" spans="1:3" ht="15.75" thickBot="1" x14ac:dyDescent="0.3">
      <c r="A10" s="21" t="s">
        <v>7</v>
      </c>
      <c r="B10" s="22" t="s">
        <v>160</v>
      </c>
      <c r="C10" s="22" t="s">
        <v>171</v>
      </c>
    </row>
    <row r="11" spans="1:3" ht="15.75" thickBot="1" x14ac:dyDescent="0.3">
      <c r="A11" s="21" t="s">
        <v>8</v>
      </c>
      <c r="B11" s="22" t="s">
        <v>167</v>
      </c>
      <c r="C11" s="22" t="s">
        <v>172</v>
      </c>
    </row>
    <row r="12" spans="1:3" ht="15.75" thickBot="1" x14ac:dyDescent="0.3">
      <c r="A12" s="21" t="s">
        <v>9</v>
      </c>
      <c r="B12" s="22" t="s">
        <v>173</v>
      </c>
      <c r="C12" s="22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B03B-D8ED-41F6-B224-B92931F95FDE}">
  <dimension ref="A1:K51"/>
  <sheetViews>
    <sheetView workbookViewId="0">
      <selection activeCell="D20" sqref="D20"/>
    </sheetView>
  </sheetViews>
  <sheetFormatPr defaultRowHeight="15" x14ac:dyDescent="0.25"/>
  <cols>
    <col min="1" max="1" width="14.42578125" bestFit="1" customWidth="1"/>
    <col min="2" max="2" width="4.42578125" bestFit="1" customWidth="1"/>
    <col min="3" max="3" width="13.28515625" bestFit="1" customWidth="1"/>
    <col min="4" max="4" width="14.28515625" bestFit="1" customWidth="1"/>
    <col min="5" max="5" width="7.7109375" bestFit="1" customWidth="1"/>
    <col min="6" max="6" width="8.140625" bestFit="1" customWidth="1"/>
    <col min="7" max="7" width="14.7109375" bestFit="1" customWidth="1"/>
    <col min="8" max="8" width="14.28515625" bestFit="1" customWidth="1"/>
    <col min="9" max="9" width="15.42578125" bestFit="1" customWidth="1"/>
    <col min="10" max="10" width="7.85546875" bestFit="1" customWidth="1"/>
    <col min="11" max="11" width="11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108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>
        <v>1</v>
      </c>
      <c r="C2" t="s">
        <v>11</v>
      </c>
      <c r="D2">
        <v>29</v>
      </c>
      <c r="E2" t="s">
        <v>12</v>
      </c>
      <c r="F2" t="s">
        <v>13</v>
      </c>
      <c r="G2">
        <v>5</v>
      </c>
      <c r="H2">
        <v>11</v>
      </c>
      <c r="I2">
        <v>4</v>
      </c>
      <c r="J2" t="s">
        <v>14</v>
      </c>
      <c r="K2">
        <v>220</v>
      </c>
    </row>
    <row r="3" spans="1:11" x14ac:dyDescent="0.25">
      <c r="A3" t="s">
        <v>15</v>
      </c>
      <c r="B3">
        <v>2</v>
      </c>
      <c r="C3" t="s">
        <v>16</v>
      </c>
      <c r="D3">
        <v>22</v>
      </c>
      <c r="E3" t="s">
        <v>17</v>
      </c>
      <c r="F3" t="s">
        <v>13</v>
      </c>
      <c r="G3">
        <v>8</v>
      </c>
      <c r="H3">
        <v>0</v>
      </c>
      <c r="I3">
        <v>7</v>
      </c>
      <c r="J3" t="s">
        <v>14</v>
      </c>
      <c r="K3">
        <v>270</v>
      </c>
    </row>
    <row r="4" spans="1:11" x14ac:dyDescent="0.25">
      <c r="A4" t="s">
        <v>18</v>
      </c>
      <c r="B4">
        <v>3</v>
      </c>
      <c r="C4" t="s">
        <v>19</v>
      </c>
      <c r="D4">
        <v>27</v>
      </c>
      <c r="E4" t="s">
        <v>17</v>
      </c>
      <c r="F4" t="s">
        <v>13</v>
      </c>
      <c r="G4">
        <v>7</v>
      </c>
      <c r="H4">
        <v>1</v>
      </c>
      <c r="I4">
        <v>0</v>
      </c>
      <c r="J4" t="s">
        <v>14</v>
      </c>
      <c r="K4">
        <v>180</v>
      </c>
    </row>
    <row r="5" spans="1:11" x14ac:dyDescent="0.25">
      <c r="A5" t="s">
        <v>20</v>
      </c>
      <c r="B5">
        <v>4</v>
      </c>
      <c r="C5" t="s">
        <v>21</v>
      </c>
      <c r="D5">
        <v>18</v>
      </c>
      <c r="E5" t="s">
        <v>17</v>
      </c>
      <c r="F5" t="s">
        <v>14</v>
      </c>
      <c r="G5">
        <v>3</v>
      </c>
      <c r="H5">
        <v>2</v>
      </c>
      <c r="I5">
        <v>6</v>
      </c>
      <c r="J5" t="s">
        <v>13</v>
      </c>
      <c r="K5">
        <v>205</v>
      </c>
    </row>
    <row r="6" spans="1:11" x14ac:dyDescent="0.25">
      <c r="A6" t="s">
        <v>22</v>
      </c>
      <c r="B6">
        <v>5</v>
      </c>
      <c r="C6" t="s">
        <v>23</v>
      </c>
      <c r="D6">
        <v>18</v>
      </c>
      <c r="E6" t="s">
        <v>17</v>
      </c>
      <c r="F6" t="s">
        <v>13</v>
      </c>
      <c r="G6">
        <v>1</v>
      </c>
      <c r="H6">
        <v>10</v>
      </c>
      <c r="I6">
        <v>6</v>
      </c>
      <c r="J6" t="s">
        <v>13</v>
      </c>
      <c r="K6">
        <v>195</v>
      </c>
    </row>
    <row r="7" spans="1:11" x14ac:dyDescent="0.25">
      <c r="A7" t="s">
        <v>24</v>
      </c>
      <c r="B7">
        <v>6</v>
      </c>
      <c r="C7" t="s">
        <v>25</v>
      </c>
      <c r="D7">
        <v>19</v>
      </c>
      <c r="E7" t="s">
        <v>17</v>
      </c>
      <c r="F7" t="s">
        <v>13</v>
      </c>
      <c r="G7">
        <v>4</v>
      </c>
      <c r="H7">
        <v>10</v>
      </c>
      <c r="I7">
        <v>1</v>
      </c>
      <c r="J7" t="s">
        <v>14</v>
      </c>
      <c r="K7">
        <v>160</v>
      </c>
    </row>
    <row r="8" spans="1:11" x14ac:dyDescent="0.25">
      <c r="A8" t="s">
        <v>26</v>
      </c>
      <c r="B8">
        <v>7</v>
      </c>
      <c r="C8" t="s">
        <v>27</v>
      </c>
      <c r="D8">
        <v>18</v>
      </c>
      <c r="E8" t="s">
        <v>17</v>
      </c>
      <c r="F8" t="s">
        <v>14</v>
      </c>
      <c r="G8">
        <v>3</v>
      </c>
      <c r="H8">
        <v>10</v>
      </c>
      <c r="I8">
        <v>4</v>
      </c>
      <c r="J8" t="s">
        <v>13</v>
      </c>
      <c r="K8">
        <v>225</v>
      </c>
    </row>
    <row r="9" spans="1:11" x14ac:dyDescent="0.25">
      <c r="A9" t="s">
        <v>28</v>
      </c>
      <c r="B9">
        <v>8</v>
      </c>
      <c r="C9" t="s">
        <v>11</v>
      </c>
      <c r="D9">
        <v>29</v>
      </c>
      <c r="E9" t="s">
        <v>12</v>
      </c>
      <c r="F9" t="s">
        <v>13</v>
      </c>
      <c r="G9">
        <v>4</v>
      </c>
      <c r="H9">
        <v>6</v>
      </c>
      <c r="I9">
        <v>2</v>
      </c>
      <c r="J9" t="s">
        <v>14</v>
      </c>
      <c r="K9">
        <v>150</v>
      </c>
    </row>
    <row r="10" spans="1:11" x14ac:dyDescent="0.25">
      <c r="A10" t="s">
        <v>29</v>
      </c>
      <c r="B10">
        <v>9</v>
      </c>
      <c r="C10" t="s">
        <v>16</v>
      </c>
      <c r="D10">
        <v>18</v>
      </c>
      <c r="E10" t="s">
        <v>12</v>
      </c>
      <c r="F10" t="s">
        <v>13</v>
      </c>
      <c r="G10">
        <v>1</v>
      </c>
      <c r="H10">
        <v>15</v>
      </c>
      <c r="I10">
        <v>5</v>
      </c>
      <c r="J10" t="s">
        <v>14</v>
      </c>
      <c r="K10">
        <v>150</v>
      </c>
    </row>
    <row r="11" spans="1:11" x14ac:dyDescent="0.25">
      <c r="A11" t="s">
        <v>30</v>
      </c>
      <c r="B11">
        <v>10</v>
      </c>
      <c r="C11" t="s">
        <v>19</v>
      </c>
      <c r="D11">
        <v>33</v>
      </c>
      <c r="E11" t="s">
        <v>17</v>
      </c>
      <c r="F11" t="s">
        <v>13</v>
      </c>
      <c r="G11">
        <v>6</v>
      </c>
      <c r="H11">
        <v>0</v>
      </c>
      <c r="I11">
        <v>5</v>
      </c>
      <c r="J11" t="s">
        <v>14</v>
      </c>
      <c r="K11">
        <v>200</v>
      </c>
    </row>
    <row r="12" spans="1:11" x14ac:dyDescent="0.25">
      <c r="A12" t="s">
        <v>31</v>
      </c>
      <c r="B12">
        <v>11</v>
      </c>
      <c r="C12" t="s">
        <v>21</v>
      </c>
      <c r="D12">
        <v>23</v>
      </c>
      <c r="E12" t="s">
        <v>12</v>
      </c>
      <c r="F12" t="s">
        <v>13</v>
      </c>
      <c r="G12">
        <v>3</v>
      </c>
      <c r="H12">
        <v>14</v>
      </c>
      <c r="I12">
        <v>6</v>
      </c>
      <c r="J12" t="s">
        <v>14</v>
      </c>
      <c r="K12">
        <v>205</v>
      </c>
    </row>
    <row r="13" spans="1:11" x14ac:dyDescent="0.25">
      <c r="A13" t="s">
        <v>32</v>
      </c>
      <c r="B13">
        <v>12</v>
      </c>
      <c r="C13" t="s">
        <v>23</v>
      </c>
      <c r="D13">
        <v>28</v>
      </c>
      <c r="E13" t="s">
        <v>17</v>
      </c>
      <c r="F13" t="s">
        <v>13</v>
      </c>
      <c r="G13">
        <v>4</v>
      </c>
      <c r="H13">
        <v>6</v>
      </c>
      <c r="I13">
        <v>6</v>
      </c>
      <c r="J13" t="s">
        <v>13</v>
      </c>
      <c r="K13">
        <v>250</v>
      </c>
    </row>
    <row r="14" spans="1:11" x14ac:dyDescent="0.25">
      <c r="A14" t="s">
        <v>33</v>
      </c>
      <c r="B14">
        <v>13</v>
      </c>
      <c r="C14" t="s">
        <v>25</v>
      </c>
      <c r="D14">
        <v>33</v>
      </c>
      <c r="E14" t="s">
        <v>12</v>
      </c>
      <c r="F14" t="s">
        <v>14</v>
      </c>
      <c r="G14">
        <v>2</v>
      </c>
      <c r="H14">
        <v>10</v>
      </c>
      <c r="I14">
        <v>4</v>
      </c>
      <c r="J14" t="s">
        <v>14</v>
      </c>
      <c r="K14">
        <v>140</v>
      </c>
    </row>
    <row r="15" spans="1:11" x14ac:dyDescent="0.25">
      <c r="A15" t="s">
        <v>34</v>
      </c>
      <c r="B15">
        <v>14</v>
      </c>
      <c r="C15" t="s">
        <v>27</v>
      </c>
      <c r="D15">
        <v>27</v>
      </c>
      <c r="E15" t="s">
        <v>17</v>
      </c>
      <c r="F15" t="s">
        <v>13</v>
      </c>
      <c r="G15">
        <v>3</v>
      </c>
      <c r="H15">
        <v>12</v>
      </c>
      <c r="I15">
        <v>2</v>
      </c>
      <c r="J15" t="s">
        <v>14</v>
      </c>
      <c r="K15">
        <v>155</v>
      </c>
    </row>
    <row r="16" spans="1:11" x14ac:dyDescent="0.25">
      <c r="A16" t="s">
        <v>35</v>
      </c>
      <c r="B16">
        <v>15</v>
      </c>
      <c r="C16" t="s">
        <v>11</v>
      </c>
      <c r="D16">
        <v>30</v>
      </c>
      <c r="E16" t="s">
        <v>12</v>
      </c>
      <c r="F16" t="s">
        <v>13</v>
      </c>
      <c r="G16">
        <v>7</v>
      </c>
      <c r="H16">
        <v>3</v>
      </c>
      <c r="I16">
        <v>0</v>
      </c>
      <c r="J16" t="s">
        <v>13</v>
      </c>
      <c r="K16">
        <v>250</v>
      </c>
    </row>
    <row r="17" spans="1:11" x14ac:dyDescent="0.25">
      <c r="A17" t="s">
        <v>36</v>
      </c>
      <c r="B17">
        <v>16</v>
      </c>
      <c r="C17" t="s">
        <v>16</v>
      </c>
      <c r="D17">
        <v>18</v>
      </c>
      <c r="E17" t="s">
        <v>12</v>
      </c>
      <c r="F17" t="s">
        <v>14</v>
      </c>
      <c r="G17">
        <v>2</v>
      </c>
      <c r="H17">
        <v>5</v>
      </c>
      <c r="I17">
        <v>7</v>
      </c>
      <c r="J17" t="s">
        <v>14</v>
      </c>
      <c r="K17">
        <v>145</v>
      </c>
    </row>
    <row r="18" spans="1:11" x14ac:dyDescent="0.25">
      <c r="A18" t="s">
        <v>37</v>
      </c>
      <c r="B18">
        <v>17</v>
      </c>
      <c r="C18" t="s">
        <v>19</v>
      </c>
      <c r="D18">
        <v>17</v>
      </c>
      <c r="E18" t="s">
        <v>12</v>
      </c>
      <c r="F18" t="s">
        <v>13</v>
      </c>
      <c r="G18">
        <v>8</v>
      </c>
      <c r="H18">
        <v>1</v>
      </c>
      <c r="I18">
        <v>3</v>
      </c>
      <c r="J18" t="s">
        <v>14</v>
      </c>
      <c r="K18">
        <v>235</v>
      </c>
    </row>
    <row r="19" spans="1:11" x14ac:dyDescent="0.25">
      <c r="A19" t="s">
        <v>38</v>
      </c>
      <c r="B19">
        <v>18</v>
      </c>
      <c r="C19" t="s">
        <v>21</v>
      </c>
      <c r="D19">
        <v>19</v>
      </c>
      <c r="E19" t="s">
        <v>12</v>
      </c>
      <c r="F19" t="s">
        <v>13</v>
      </c>
      <c r="G19">
        <v>1</v>
      </c>
      <c r="H19">
        <v>10</v>
      </c>
      <c r="I19">
        <v>2</v>
      </c>
      <c r="J19" t="s">
        <v>14</v>
      </c>
      <c r="K19">
        <v>95</v>
      </c>
    </row>
    <row r="20" spans="1:11" x14ac:dyDescent="0.25">
      <c r="A20" t="s">
        <v>39</v>
      </c>
      <c r="B20">
        <v>19</v>
      </c>
      <c r="C20" t="s">
        <v>23</v>
      </c>
      <c r="D20">
        <v>35</v>
      </c>
      <c r="E20" t="s">
        <v>12</v>
      </c>
      <c r="F20" t="s">
        <v>13</v>
      </c>
      <c r="G20">
        <v>3</v>
      </c>
      <c r="H20">
        <v>8</v>
      </c>
      <c r="I20">
        <v>3</v>
      </c>
      <c r="J20" t="s">
        <v>14</v>
      </c>
      <c r="K20">
        <v>145</v>
      </c>
    </row>
    <row r="21" spans="1:11" x14ac:dyDescent="0.25">
      <c r="A21" t="s">
        <v>40</v>
      </c>
      <c r="B21">
        <v>20</v>
      </c>
      <c r="C21" t="s">
        <v>25</v>
      </c>
      <c r="D21">
        <v>30</v>
      </c>
      <c r="E21" t="s">
        <v>12</v>
      </c>
      <c r="F21" t="s">
        <v>14</v>
      </c>
      <c r="G21">
        <v>1</v>
      </c>
      <c r="H21">
        <v>8</v>
      </c>
      <c r="I21">
        <v>0</v>
      </c>
      <c r="J21" t="s">
        <v>14</v>
      </c>
      <c r="K21">
        <v>65</v>
      </c>
    </row>
    <row r="22" spans="1:11" x14ac:dyDescent="0.25">
      <c r="A22" t="s">
        <v>41</v>
      </c>
      <c r="B22">
        <v>21</v>
      </c>
      <c r="C22" t="s">
        <v>27</v>
      </c>
      <c r="D22">
        <v>34</v>
      </c>
      <c r="E22" t="s">
        <v>12</v>
      </c>
      <c r="F22" t="s">
        <v>13</v>
      </c>
      <c r="G22">
        <v>2</v>
      </c>
      <c r="H22">
        <v>15</v>
      </c>
      <c r="I22">
        <v>7</v>
      </c>
      <c r="J22" t="s">
        <v>13</v>
      </c>
      <c r="K22">
        <v>255</v>
      </c>
    </row>
    <row r="23" spans="1:11" x14ac:dyDescent="0.25">
      <c r="A23" t="s">
        <v>42</v>
      </c>
      <c r="B23">
        <v>22</v>
      </c>
      <c r="C23" t="s">
        <v>11</v>
      </c>
      <c r="D23">
        <v>32</v>
      </c>
      <c r="E23" t="s">
        <v>12</v>
      </c>
      <c r="F23" t="s">
        <v>13</v>
      </c>
      <c r="G23">
        <v>3</v>
      </c>
      <c r="H23">
        <v>9</v>
      </c>
      <c r="I23">
        <v>1</v>
      </c>
      <c r="J23" t="s">
        <v>14</v>
      </c>
      <c r="K23">
        <v>130</v>
      </c>
    </row>
    <row r="24" spans="1:11" x14ac:dyDescent="0.25">
      <c r="A24" t="s">
        <v>43</v>
      </c>
      <c r="B24">
        <v>23</v>
      </c>
      <c r="C24" t="s">
        <v>16</v>
      </c>
      <c r="D24">
        <v>33</v>
      </c>
      <c r="E24" t="s">
        <v>12</v>
      </c>
      <c r="F24" t="s">
        <v>13</v>
      </c>
      <c r="G24">
        <v>8</v>
      </c>
      <c r="H24">
        <v>15</v>
      </c>
      <c r="I24">
        <v>1</v>
      </c>
      <c r="J24" t="s">
        <v>14</v>
      </c>
      <c r="K24">
        <v>285</v>
      </c>
    </row>
    <row r="25" spans="1:11" x14ac:dyDescent="0.25">
      <c r="A25" t="s">
        <v>44</v>
      </c>
      <c r="B25">
        <v>24</v>
      </c>
      <c r="C25" t="s">
        <v>19</v>
      </c>
      <c r="D25">
        <v>27</v>
      </c>
      <c r="E25" t="s">
        <v>17</v>
      </c>
      <c r="F25" t="s">
        <v>13</v>
      </c>
      <c r="G25">
        <v>4</v>
      </c>
      <c r="H25">
        <v>11</v>
      </c>
      <c r="I25">
        <v>1</v>
      </c>
      <c r="J25" t="s">
        <v>14</v>
      </c>
      <c r="K25">
        <v>165</v>
      </c>
    </row>
    <row r="26" spans="1:11" x14ac:dyDescent="0.25">
      <c r="A26" t="s">
        <v>45</v>
      </c>
      <c r="B26">
        <v>25</v>
      </c>
      <c r="C26" t="s">
        <v>21</v>
      </c>
      <c r="D26">
        <v>30</v>
      </c>
      <c r="E26" t="s">
        <v>17</v>
      </c>
      <c r="F26" t="s">
        <v>14</v>
      </c>
      <c r="G26">
        <v>2</v>
      </c>
      <c r="H26">
        <v>9</v>
      </c>
      <c r="I26">
        <v>0</v>
      </c>
      <c r="J26" t="s">
        <v>14</v>
      </c>
      <c r="K26">
        <v>95</v>
      </c>
    </row>
    <row r="27" spans="1:11" x14ac:dyDescent="0.25">
      <c r="A27" t="s">
        <v>46</v>
      </c>
      <c r="B27">
        <v>26</v>
      </c>
      <c r="C27" t="s">
        <v>23</v>
      </c>
      <c r="D27">
        <v>29</v>
      </c>
      <c r="E27" t="s">
        <v>17</v>
      </c>
      <c r="F27" t="s">
        <v>13</v>
      </c>
      <c r="G27">
        <v>8</v>
      </c>
      <c r="H27">
        <v>15</v>
      </c>
      <c r="I27">
        <v>3</v>
      </c>
      <c r="J27" t="s">
        <v>13</v>
      </c>
      <c r="K27">
        <v>365</v>
      </c>
    </row>
    <row r="28" spans="1:11" x14ac:dyDescent="0.25">
      <c r="A28" t="s">
        <v>47</v>
      </c>
      <c r="B28">
        <v>27</v>
      </c>
      <c r="C28" t="s">
        <v>25</v>
      </c>
      <c r="D28">
        <v>28</v>
      </c>
      <c r="E28" t="s">
        <v>17</v>
      </c>
      <c r="F28" t="s">
        <v>14</v>
      </c>
      <c r="G28">
        <v>8</v>
      </c>
      <c r="H28">
        <v>14</v>
      </c>
      <c r="I28">
        <v>7</v>
      </c>
      <c r="J28" t="s">
        <v>14</v>
      </c>
      <c r="K28">
        <v>340</v>
      </c>
    </row>
    <row r="29" spans="1:11" x14ac:dyDescent="0.25">
      <c r="A29" t="s">
        <v>48</v>
      </c>
      <c r="B29">
        <v>28</v>
      </c>
      <c r="C29" t="s">
        <v>27</v>
      </c>
      <c r="D29">
        <v>35</v>
      </c>
      <c r="E29" t="s">
        <v>17</v>
      </c>
      <c r="F29" t="s">
        <v>13</v>
      </c>
      <c r="G29">
        <v>5</v>
      </c>
      <c r="H29">
        <v>15</v>
      </c>
      <c r="I29">
        <v>3</v>
      </c>
      <c r="J29" t="s">
        <v>14</v>
      </c>
      <c r="K29">
        <v>230</v>
      </c>
    </row>
    <row r="30" spans="1:11" x14ac:dyDescent="0.25">
      <c r="A30" t="s">
        <v>49</v>
      </c>
      <c r="B30">
        <v>29</v>
      </c>
      <c r="C30" t="s">
        <v>11</v>
      </c>
      <c r="D30">
        <v>26</v>
      </c>
      <c r="E30" t="s">
        <v>12</v>
      </c>
      <c r="F30" t="s">
        <v>13</v>
      </c>
      <c r="G30">
        <v>7</v>
      </c>
      <c r="H30">
        <v>3</v>
      </c>
      <c r="I30">
        <v>0</v>
      </c>
      <c r="J30" t="s">
        <v>14</v>
      </c>
      <c r="K30">
        <v>190</v>
      </c>
    </row>
    <row r="31" spans="1:11" x14ac:dyDescent="0.25">
      <c r="A31" t="s">
        <v>50</v>
      </c>
      <c r="B31">
        <v>30</v>
      </c>
      <c r="C31" t="s">
        <v>16</v>
      </c>
      <c r="D31">
        <v>27</v>
      </c>
      <c r="E31" t="s">
        <v>12</v>
      </c>
      <c r="F31" t="s">
        <v>13</v>
      </c>
      <c r="G31">
        <v>4</v>
      </c>
      <c r="H31">
        <v>14</v>
      </c>
      <c r="I31">
        <v>4</v>
      </c>
      <c r="J31" t="s">
        <v>14</v>
      </c>
      <c r="K31">
        <v>210</v>
      </c>
    </row>
    <row r="32" spans="1:11" x14ac:dyDescent="0.25">
      <c r="A32" t="s">
        <v>51</v>
      </c>
      <c r="B32">
        <v>31</v>
      </c>
      <c r="C32" t="s">
        <v>19</v>
      </c>
      <c r="D32">
        <v>30</v>
      </c>
      <c r="E32" t="s">
        <v>17</v>
      </c>
      <c r="F32" t="s">
        <v>14</v>
      </c>
      <c r="G32">
        <v>4</v>
      </c>
      <c r="H32">
        <v>0</v>
      </c>
      <c r="I32">
        <v>5</v>
      </c>
      <c r="J32" t="s">
        <v>13</v>
      </c>
      <c r="K32">
        <v>210</v>
      </c>
    </row>
    <row r="33" spans="1:11" x14ac:dyDescent="0.25">
      <c r="A33" t="s">
        <v>52</v>
      </c>
      <c r="B33">
        <v>32</v>
      </c>
      <c r="C33" t="s">
        <v>21</v>
      </c>
      <c r="D33">
        <v>34</v>
      </c>
      <c r="E33" t="s">
        <v>17</v>
      </c>
      <c r="F33" t="s">
        <v>14</v>
      </c>
      <c r="G33">
        <v>6</v>
      </c>
      <c r="H33">
        <v>14</v>
      </c>
      <c r="I33">
        <v>3</v>
      </c>
      <c r="J33" t="s">
        <v>13</v>
      </c>
      <c r="K33">
        <v>310</v>
      </c>
    </row>
    <row r="34" spans="1:11" x14ac:dyDescent="0.25">
      <c r="A34" t="s">
        <v>53</v>
      </c>
      <c r="B34">
        <v>33</v>
      </c>
      <c r="C34" t="s">
        <v>23</v>
      </c>
      <c r="D34">
        <v>23</v>
      </c>
      <c r="E34" t="s">
        <v>17</v>
      </c>
      <c r="F34" t="s">
        <v>14</v>
      </c>
      <c r="G34">
        <v>7</v>
      </c>
      <c r="H34">
        <v>13</v>
      </c>
      <c r="I34">
        <v>2</v>
      </c>
      <c r="J34" t="s">
        <v>14</v>
      </c>
      <c r="K34">
        <v>260</v>
      </c>
    </row>
    <row r="35" spans="1:11" x14ac:dyDescent="0.25">
      <c r="A35" t="s">
        <v>54</v>
      </c>
      <c r="B35">
        <v>34</v>
      </c>
      <c r="C35" t="s">
        <v>25</v>
      </c>
      <c r="D35">
        <v>31</v>
      </c>
      <c r="E35" t="s">
        <v>17</v>
      </c>
      <c r="F35" t="s">
        <v>13</v>
      </c>
      <c r="G35">
        <v>3</v>
      </c>
      <c r="H35">
        <v>6</v>
      </c>
      <c r="I35">
        <v>7</v>
      </c>
      <c r="J35" t="s">
        <v>13</v>
      </c>
      <c r="K35">
        <v>235</v>
      </c>
    </row>
    <row r="36" spans="1:11" x14ac:dyDescent="0.25">
      <c r="A36" t="s">
        <v>55</v>
      </c>
      <c r="B36">
        <v>35</v>
      </c>
      <c r="C36" t="s">
        <v>27</v>
      </c>
      <c r="D36">
        <v>24</v>
      </c>
      <c r="E36" t="s">
        <v>12</v>
      </c>
      <c r="F36" t="s">
        <v>14</v>
      </c>
      <c r="G36">
        <v>8</v>
      </c>
      <c r="H36">
        <v>5</v>
      </c>
      <c r="I36">
        <v>1</v>
      </c>
      <c r="J36" t="s">
        <v>14</v>
      </c>
      <c r="K36">
        <v>235</v>
      </c>
    </row>
    <row r="37" spans="1:11" x14ac:dyDescent="0.25">
      <c r="A37" t="s">
        <v>56</v>
      </c>
      <c r="B37">
        <v>36</v>
      </c>
      <c r="C37" t="s">
        <v>11</v>
      </c>
      <c r="D37">
        <v>32</v>
      </c>
      <c r="E37" t="s">
        <v>12</v>
      </c>
      <c r="F37" t="s">
        <v>13</v>
      </c>
      <c r="G37">
        <v>5</v>
      </c>
      <c r="H37">
        <v>14</v>
      </c>
      <c r="I37">
        <v>3</v>
      </c>
      <c r="J37" t="s">
        <v>14</v>
      </c>
      <c r="K37">
        <v>225</v>
      </c>
    </row>
    <row r="38" spans="1:11" x14ac:dyDescent="0.25">
      <c r="A38" t="s">
        <v>57</v>
      </c>
      <c r="B38">
        <v>37</v>
      </c>
      <c r="C38" t="s">
        <v>16</v>
      </c>
      <c r="D38">
        <v>23</v>
      </c>
      <c r="E38" t="s">
        <v>12</v>
      </c>
      <c r="F38" t="s">
        <v>13</v>
      </c>
      <c r="G38">
        <v>5</v>
      </c>
      <c r="H38">
        <v>12</v>
      </c>
      <c r="I38">
        <v>2</v>
      </c>
      <c r="J38" t="s">
        <v>13</v>
      </c>
      <c r="K38">
        <v>265</v>
      </c>
    </row>
    <row r="39" spans="1:11" x14ac:dyDescent="0.25">
      <c r="A39" t="s">
        <v>58</v>
      </c>
      <c r="B39">
        <v>38</v>
      </c>
      <c r="C39" t="s">
        <v>19</v>
      </c>
      <c r="D39">
        <v>21</v>
      </c>
      <c r="E39" t="s">
        <v>17</v>
      </c>
      <c r="F39" t="s">
        <v>13</v>
      </c>
      <c r="G39">
        <v>2</v>
      </c>
      <c r="H39">
        <v>4</v>
      </c>
      <c r="I39">
        <v>7</v>
      </c>
      <c r="J39" t="s">
        <v>14</v>
      </c>
      <c r="K39">
        <v>140</v>
      </c>
    </row>
    <row r="40" spans="1:11" x14ac:dyDescent="0.25">
      <c r="A40" t="s">
        <v>59</v>
      </c>
      <c r="B40">
        <v>39</v>
      </c>
      <c r="C40" t="s">
        <v>21</v>
      </c>
      <c r="D40">
        <v>25</v>
      </c>
      <c r="E40" t="s">
        <v>12</v>
      </c>
      <c r="F40" t="s">
        <v>13</v>
      </c>
      <c r="G40">
        <v>4</v>
      </c>
      <c r="H40">
        <v>8</v>
      </c>
      <c r="I40">
        <v>4</v>
      </c>
      <c r="J40" t="s">
        <v>13</v>
      </c>
      <c r="K40">
        <v>240</v>
      </c>
    </row>
    <row r="41" spans="1:11" x14ac:dyDescent="0.25">
      <c r="A41" t="s">
        <v>60</v>
      </c>
      <c r="B41">
        <v>40</v>
      </c>
      <c r="C41" t="s">
        <v>23</v>
      </c>
      <c r="D41">
        <v>24</v>
      </c>
      <c r="E41" t="s">
        <v>12</v>
      </c>
      <c r="F41" t="s">
        <v>14</v>
      </c>
      <c r="G41">
        <v>1</v>
      </c>
      <c r="H41">
        <v>13</v>
      </c>
      <c r="I41">
        <v>0</v>
      </c>
      <c r="J41" t="s">
        <v>14</v>
      </c>
      <c r="K41">
        <v>90</v>
      </c>
    </row>
    <row r="42" spans="1:11" x14ac:dyDescent="0.25">
      <c r="A42" t="s">
        <v>61</v>
      </c>
      <c r="B42">
        <v>41</v>
      </c>
      <c r="C42" t="s">
        <v>25</v>
      </c>
      <c r="D42">
        <v>33</v>
      </c>
      <c r="E42" t="s">
        <v>17</v>
      </c>
      <c r="F42" t="s">
        <v>13</v>
      </c>
      <c r="G42">
        <v>1</v>
      </c>
      <c r="H42">
        <v>15</v>
      </c>
      <c r="I42">
        <v>1</v>
      </c>
      <c r="J42" t="s">
        <v>14</v>
      </c>
      <c r="K42">
        <v>110</v>
      </c>
    </row>
    <row r="43" spans="1:11" x14ac:dyDescent="0.25">
      <c r="A43" t="s">
        <v>62</v>
      </c>
      <c r="B43">
        <v>42</v>
      </c>
      <c r="C43" t="s">
        <v>27</v>
      </c>
      <c r="D43">
        <v>24</v>
      </c>
      <c r="E43" t="s">
        <v>12</v>
      </c>
      <c r="F43" t="s">
        <v>13</v>
      </c>
      <c r="G43">
        <v>6</v>
      </c>
      <c r="H43">
        <v>0</v>
      </c>
      <c r="I43">
        <v>6</v>
      </c>
      <c r="J43" t="s">
        <v>14</v>
      </c>
      <c r="K43">
        <v>210</v>
      </c>
    </row>
    <row r="44" spans="1:11" x14ac:dyDescent="0.25">
      <c r="A44" t="s">
        <v>63</v>
      </c>
      <c r="B44">
        <v>43</v>
      </c>
      <c r="C44" t="s">
        <v>11</v>
      </c>
      <c r="D44">
        <v>17</v>
      </c>
      <c r="E44" t="s">
        <v>12</v>
      </c>
      <c r="F44" t="s">
        <v>13</v>
      </c>
      <c r="G44">
        <v>3</v>
      </c>
      <c r="H44">
        <v>4</v>
      </c>
      <c r="I44">
        <v>2</v>
      </c>
      <c r="J44" t="s">
        <v>14</v>
      </c>
      <c r="K44">
        <v>115</v>
      </c>
    </row>
    <row r="45" spans="1:11" x14ac:dyDescent="0.25">
      <c r="A45" t="s">
        <v>64</v>
      </c>
      <c r="B45">
        <v>44</v>
      </c>
      <c r="C45" t="s">
        <v>16</v>
      </c>
      <c r="D45">
        <v>18</v>
      </c>
      <c r="E45" t="s">
        <v>12</v>
      </c>
      <c r="F45" t="s">
        <v>13</v>
      </c>
      <c r="G45">
        <v>1</v>
      </c>
      <c r="H45">
        <v>2</v>
      </c>
      <c r="I45">
        <v>5</v>
      </c>
      <c r="J45" t="s">
        <v>14</v>
      </c>
      <c r="K45">
        <v>85</v>
      </c>
    </row>
    <row r="46" spans="1:11" x14ac:dyDescent="0.25">
      <c r="A46" t="s">
        <v>65</v>
      </c>
      <c r="B46">
        <v>45</v>
      </c>
      <c r="C46" t="s">
        <v>19</v>
      </c>
      <c r="D46">
        <v>18</v>
      </c>
      <c r="E46" t="s">
        <v>12</v>
      </c>
      <c r="F46" t="s">
        <v>13</v>
      </c>
      <c r="G46">
        <v>1</v>
      </c>
      <c r="H46">
        <v>2</v>
      </c>
      <c r="I46">
        <v>5</v>
      </c>
      <c r="J46" t="s">
        <v>14</v>
      </c>
      <c r="K46">
        <v>85</v>
      </c>
    </row>
    <row r="47" spans="1:11" x14ac:dyDescent="0.25">
      <c r="A47" t="s">
        <v>66</v>
      </c>
      <c r="B47">
        <v>46</v>
      </c>
      <c r="C47" t="s">
        <v>21</v>
      </c>
      <c r="D47">
        <v>34</v>
      </c>
      <c r="E47" t="s">
        <v>12</v>
      </c>
      <c r="F47" t="s">
        <v>13</v>
      </c>
      <c r="G47">
        <v>1</v>
      </c>
      <c r="H47">
        <v>12</v>
      </c>
      <c r="I47">
        <v>7</v>
      </c>
      <c r="J47" t="s">
        <v>14</v>
      </c>
      <c r="K47">
        <v>155</v>
      </c>
    </row>
    <row r="48" spans="1:11" x14ac:dyDescent="0.25">
      <c r="A48" t="s">
        <v>67</v>
      </c>
      <c r="B48">
        <v>47</v>
      </c>
      <c r="C48" t="s">
        <v>23</v>
      </c>
      <c r="D48">
        <v>29</v>
      </c>
      <c r="E48" t="s">
        <v>17</v>
      </c>
      <c r="F48" t="s">
        <v>13</v>
      </c>
      <c r="G48">
        <v>1</v>
      </c>
      <c r="H48">
        <v>10</v>
      </c>
      <c r="I48">
        <v>1</v>
      </c>
      <c r="J48" t="s">
        <v>13</v>
      </c>
      <c r="K48">
        <v>145</v>
      </c>
    </row>
    <row r="49" spans="1:11" x14ac:dyDescent="0.25">
      <c r="A49" t="s">
        <v>68</v>
      </c>
      <c r="B49">
        <v>48</v>
      </c>
      <c r="C49" t="s">
        <v>25</v>
      </c>
      <c r="D49">
        <v>32</v>
      </c>
      <c r="E49" t="s">
        <v>17</v>
      </c>
      <c r="F49" t="s">
        <v>13</v>
      </c>
      <c r="G49">
        <v>8</v>
      </c>
      <c r="H49">
        <v>0</v>
      </c>
      <c r="I49">
        <v>6</v>
      </c>
      <c r="J49" t="s">
        <v>14</v>
      </c>
      <c r="K49">
        <v>260</v>
      </c>
    </row>
    <row r="50" spans="1:11" x14ac:dyDescent="0.25">
      <c r="A50" t="s">
        <v>69</v>
      </c>
      <c r="B50">
        <v>49</v>
      </c>
      <c r="C50" t="s">
        <v>27</v>
      </c>
      <c r="D50">
        <v>32</v>
      </c>
      <c r="E50" t="s">
        <v>12</v>
      </c>
      <c r="F50" t="s">
        <v>13</v>
      </c>
      <c r="G50">
        <v>1</v>
      </c>
      <c r="H50">
        <v>7</v>
      </c>
      <c r="I50">
        <v>7</v>
      </c>
      <c r="J50" t="s">
        <v>13</v>
      </c>
      <c r="K50">
        <v>190</v>
      </c>
    </row>
    <row r="51" spans="1:11" x14ac:dyDescent="0.25">
      <c r="A51" t="s">
        <v>70</v>
      </c>
      <c r="B51">
        <v>50</v>
      </c>
      <c r="C51" t="s">
        <v>11</v>
      </c>
      <c r="D51">
        <v>35</v>
      </c>
      <c r="E51" t="s">
        <v>12</v>
      </c>
      <c r="F51" t="s">
        <v>13</v>
      </c>
      <c r="G51">
        <v>4</v>
      </c>
      <c r="H51">
        <v>12</v>
      </c>
      <c r="I51">
        <v>6</v>
      </c>
      <c r="J51" t="s">
        <v>14</v>
      </c>
      <c r="K51">
        <v>220</v>
      </c>
    </row>
  </sheetData>
  <sortState xmlns:xlrd2="http://schemas.microsoft.com/office/spreadsheetml/2017/richdata2" ref="A2:K51">
    <sortCondition ref="A1:A5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A166-38C3-40B7-92AB-857805161DB3}">
  <dimension ref="A1:J150"/>
  <sheetViews>
    <sheetView topLeftCell="A151" zoomScaleNormal="100" workbookViewId="0">
      <selection activeCell="A152" sqref="A152:G169"/>
    </sheetView>
  </sheetViews>
  <sheetFormatPr defaultRowHeight="15" x14ac:dyDescent="0.25"/>
  <cols>
    <col min="1" max="1" width="15.7109375" bestFit="1" customWidth="1"/>
    <col min="2" max="2" width="18.140625" bestFit="1" customWidth="1"/>
    <col min="3" max="3" width="22.42578125" bestFit="1" customWidth="1"/>
    <col min="4" max="4" width="21.140625" bestFit="1" customWidth="1"/>
    <col min="5" max="5" width="9.7109375" customWidth="1"/>
    <col min="6" max="6" width="12.7109375" customWidth="1"/>
    <col min="7" max="7" width="13.140625" customWidth="1"/>
    <col min="8" max="8" width="10.42578125" customWidth="1"/>
    <col min="9" max="9" width="12.28515625" customWidth="1"/>
    <col min="10" max="10" width="20" customWidth="1"/>
  </cols>
  <sheetData>
    <row r="1" spans="1:6" ht="15.75" x14ac:dyDescent="0.25">
      <c r="A1" s="2" t="s">
        <v>73</v>
      </c>
    </row>
    <row r="2" spans="1:6" ht="18" x14ac:dyDescent="0.25">
      <c r="A2" s="2" t="s">
        <v>74</v>
      </c>
    </row>
    <row r="3" spans="1:6" ht="15.75" x14ac:dyDescent="0.25">
      <c r="A3" s="2" t="s">
        <v>75</v>
      </c>
    </row>
    <row r="4" spans="1:6" ht="15.75" x14ac:dyDescent="0.25">
      <c r="A4" s="2"/>
    </row>
    <row r="5" spans="1:6" ht="15.75" x14ac:dyDescent="0.25">
      <c r="A5" s="2" t="s">
        <v>76</v>
      </c>
    </row>
    <row r="6" spans="1:6" ht="15.75" x14ac:dyDescent="0.25">
      <c r="A6" s="2"/>
    </row>
    <row r="7" spans="1:6" ht="15.75" x14ac:dyDescent="0.25">
      <c r="A7" s="2" t="s">
        <v>71</v>
      </c>
    </row>
    <row r="8" spans="1:6" ht="15.75" x14ac:dyDescent="0.25">
      <c r="A8" s="2" t="s">
        <v>77</v>
      </c>
    </row>
    <row r="9" spans="1:6" ht="15.75" x14ac:dyDescent="0.25">
      <c r="A9" s="2"/>
    </row>
    <row r="10" spans="1:6" ht="15.75" x14ac:dyDescent="0.25">
      <c r="A10" s="2" t="s">
        <v>72</v>
      </c>
    </row>
    <row r="11" spans="1:6" ht="15.75" x14ac:dyDescent="0.25">
      <c r="A11" s="2" t="s">
        <v>78</v>
      </c>
    </row>
    <row r="12" spans="1:6" ht="15.75" x14ac:dyDescent="0.25">
      <c r="A12" s="2"/>
    </row>
    <row r="13" spans="1:6" ht="15.75" x14ac:dyDescent="0.25">
      <c r="A13" s="2" t="s">
        <v>79</v>
      </c>
    </row>
    <row r="14" spans="1:6" x14ac:dyDescent="0.25">
      <c r="A14" s="11" t="s">
        <v>117</v>
      </c>
      <c r="B14" s="14"/>
      <c r="C14" s="14"/>
      <c r="D14" s="14"/>
      <c r="E14" s="14"/>
      <c r="F14" s="12"/>
    </row>
    <row r="15" spans="1:6" ht="15.75" x14ac:dyDescent="0.25">
      <c r="A15" s="10" t="s">
        <v>113</v>
      </c>
      <c r="B15" s="5" t="s">
        <v>83</v>
      </c>
      <c r="C15" s="5" t="s">
        <v>80</v>
      </c>
      <c r="D15" s="5" t="s">
        <v>85</v>
      </c>
      <c r="E15" s="5" t="s">
        <v>86</v>
      </c>
      <c r="F15" s="5" t="s">
        <v>87</v>
      </c>
    </row>
    <row r="16" spans="1:6" x14ac:dyDescent="0.25">
      <c r="A16" s="9" t="s">
        <v>114</v>
      </c>
      <c r="B16" s="3">
        <f>SUM(Raw_Data!D2:D51)</f>
        <v>1331</v>
      </c>
      <c r="C16" s="3">
        <f>AVERAGE(Raw_Data!D2:D51)</f>
        <v>26.62</v>
      </c>
      <c r="D16" s="3">
        <f>MEDIAN(Raw_Data!D2:D51)</f>
        <v>27.5</v>
      </c>
      <c r="E16" s="3">
        <f>MIN(Raw_Data!D2:D51)</f>
        <v>17</v>
      </c>
      <c r="F16" s="3">
        <f>MAX(Raw_Data!D2:D51)</f>
        <v>35</v>
      </c>
    </row>
    <row r="17" spans="1:6" x14ac:dyDescent="0.25">
      <c r="A17" s="9" t="s">
        <v>100</v>
      </c>
      <c r="B17" s="3">
        <f>SUM(Raw_Data!K2:K51)</f>
        <v>9690</v>
      </c>
      <c r="C17" s="3">
        <f>AVERAGE(Raw_Data!K2:K51)</f>
        <v>193.8</v>
      </c>
      <c r="D17" s="3">
        <f>MEDIAN(Raw_Data!K2:K51)</f>
        <v>202.5</v>
      </c>
      <c r="E17" s="3">
        <f>MIN(Raw_Data!K2:K51)</f>
        <v>65</v>
      </c>
      <c r="F17" s="3">
        <f>MAX(Raw_Data!K2:K51)</f>
        <v>365</v>
      </c>
    </row>
    <row r="18" spans="1:6" x14ac:dyDescent="0.25">
      <c r="A18" s="9" t="s">
        <v>107</v>
      </c>
      <c r="B18" s="3">
        <f>SUM(Raw_Data!G2:G51)</f>
        <v>199</v>
      </c>
      <c r="C18" s="3">
        <f>AVERAGE(Raw_Data!G2:G51)</f>
        <v>3.98</v>
      </c>
      <c r="D18" s="3">
        <f>MEDIAN(Raw_Data!G2:G51)</f>
        <v>4</v>
      </c>
      <c r="E18" s="3">
        <f>MIN(Raw_Data!G2:G51)</f>
        <v>1</v>
      </c>
      <c r="F18" s="3">
        <f>MAX(Raw_Data!G2:G51)</f>
        <v>8</v>
      </c>
    </row>
    <row r="19" spans="1:6" x14ac:dyDescent="0.25">
      <c r="A19" s="9" t="s">
        <v>115</v>
      </c>
      <c r="B19" s="3">
        <f>SUM(Raw_Data!H2:H51)</f>
        <v>415</v>
      </c>
      <c r="C19" s="3">
        <f>AVERAGE(Raw_Data!H2:H51)</f>
        <v>8.3000000000000007</v>
      </c>
      <c r="D19" s="3">
        <f>MEDIAN(Raw_Data!H2:H51)</f>
        <v>9.5</v>
      </c>
      <c r="E19" s="3">
        <f>MIN(Raw_Data!H2:H51)</f>
        <v>0</v>
      </c>
      <c r="F19" s="3">
        <f>MAX(Raw_Data!H2:H51)</f>
        <v>15</v>
      </c>
    </row>
    <row r="20" spans="1:6" x14ac:dyDescent="0.25">
      <c r="A20" s="9" t="s">
        <v>116</v>
      </c>
      <c r="B20" s="3">
        <f>SUM(Raw_Data!I2:I51)</f>
        <v>180</v>
      </c>
      <c r="C20" s="3">
        <f>AVERAGE(Raw_Data!I2:I51)</f>
        <v>3.6</v>
      </c>
      <c r="D20" s="3">
        <f>MEDIAN(Raw_Data!I2:I51)</f>
        <v>3.5</v>
      </c>
      <c r="E20" s="3">
        <f>MIN(Raw_Data!I2:I51)</f>
        <v>0</v>
      </c>
      <c r="F20" s="3">
        <f>MAX(Raw_Data!I2:I51)</f>
        <v>7</v>
      </c>
    </row>
    <row r="22" spans="1:6" x14ac:dyDescent="0.25">
      <c r="A22" t="s">
        <v>81</v>
      </c>
    </row>
    <row r="24" spans="1:6" x14ac:dyDescent="0.25">
      <c r="A24" s="13" t="s">
        <v>82</v>
      </c>
      <c r="B24" s="13"/>
    </row>
    <row r="25" spans="1:6" x14ac:dyDescent="0.25">
      <c r="A25" s="5" t="s">
        <v>83</v>
      </c>
      <c r="B25" s="3">
        <f>SUM(Raw_Data!K2:K51)</f>
        <v>9690</v>
      </c>
    </row>
    <row r="26" spans="1:6" x14ac:dyDescent="0.25">
      <c r="A26" s="5" t="s">
        <v>84</v>
      </c>
      <c r="B26" s="3">
        <f>AVERAGE(Raw_Data!K2:K51)</f>
        <v>193.8</v>
      </c>
    </row>
    <row r="27" spans="1:6" x14ac:dyDescent="0.25">
      <c r="A27" s="5" t="s">
        <v>85</v>
      </c>
      <c r="B27" s="3">
        <f>MEDIAN(Raw_Data!K2:K51)</f>
        <v>202.5</v>
      </c>
    </row>
    <row r="28" spans="1:6" x14ac:dyDescent="0.25">
      <c r="A28" s="5" t="s">
        <v>86</v>
      </c>
      <c r="B28" s="3">
        <f>MIN(Raw_Data!K2:K51)</f>
        <v>65</v>
      </c>
    </row>
    <row r="29" spans="1:6" x14ac:dyDescent="0.25">
      <c r="A29" s="5" t="s">
        <v>87</v>
      </c>
      <c r="B29" s="3">
        <f>MAX(Raw_Data!K2:K51)</f>
        <v>365</v>
      </c>
    </row>
    <row r="31" spans="1:6" x14ac:dyDescent="0.25">
      <c r="A31" t="s">
        <v>88</v>
      </c>
    </row>
    <row r="33" spans="1:10" x14ac:dyDescent="0.25">
      <c r="A33" s="5" t="s">
        <v>103</v>
      </c>
      <c r="B33" s="5" t="s">
        <v>106</v>
      </c>
      <c r="C33" s="5" t="s">
        <v>104</v>
      </c>
      <c r="D33" s="5" t="s">
        <v>105</v>
      </c>
      <c r="E33" s="5" t="s">
        <v>107</v>
      </c>
      <c r="F33" s="5" t="s">
        <v>109</v>
      </c>
      <c r="G33" s="5" t="s">
        <v>110</v>
      </c>
      <c r="H33" s="5" t="s">
        <v>8</v>
      </c>
      <c r="I33" s="5" t="s">
        <v>112</v>
      </c>
      <c r="J33" s="5" t="s">
        <v>111</v>
      </c>
    </row>
    <row r="34" spans="1:10" x14ac:dyDescent="0.25">
      <c r="A34" s="3" t="s">
        <v>93</v>
      </c>
      <c r="B34" s="3">
        <f>COUNTIF(Raw_Data!F2:F51, "Yes")</f>
        <v>38</v>
      </c>
      <c r="C34" s="3">
        <f>SUMIF(Raw_Data!F2:F51, "Yes", Raw_Data!K2:K51)</f>
        <v>7370</v>
      </c>
      <c r="D34" s="3">
        <f>AVERAGEIF(Raw_Data!F2:F51, "Yes", Raw_Data!K2:K51)</f>
        <v>193.94736842105263</v>
      </c>
      <c r="E34" s="3">
        <f>SUMIF(Raw_Data!F2:F51, "Yes", Raw_Data!G2:G51)</f>
        <v>152</v>
      </c>
      <c r="F34" s="3">
        <f>SUMIF(Raw_Data!F2:F51, "Yes", Raw_Data!H2:H51)</f>
        <v>312</v>
      </c>
      <c r="G34" s="3">
        <f>SUMIF(Raw_Data!F2:F51, "Yes", Raw_Data!I2:I51)</f>
        <v>141</v>
      </c>
      <c r="H34" s="3">
        <f>COUNTIFS(Raw_Data!F2:F51, "yes", Raw_Data!J2:J51, "yes")</f>
        <v>10</v>
      </c>
      <c r="I34" s="3">
        <f>COUNTIFS(Raw_Data!F2:F51, "yes", Raw_Data!J2:J51, "no")</f>
        <v>28</v>
      </c>
      <c r="J34" s="3">
        <f>AVERAGEIF(Raw_Data!F2:F51, "Yes", Raw_Data!D2:D51)</f>
        <v>26.868421052631579</v>
      </c>
    </row>
    <row r="35" spans="1:10" x14ac:dyDescent="0.25">
      <c r="A35" s="3" t="s">
        <v>102</v>
      </c>
      <c r="B35" s="3">
        <f>COUNTIF(Raw_Data!F2:F51, "No")</f>
        <v>12</v>
      </c>
      <c r="C35" s="3">
        <f>SUMIF(Raw_Data!F2:F51, "No", Raw_Data!K2:K51)</f>
        <v>2320</v>
      </c>
      <c r="D35" s="3">
        <f>AVERAGEIF(Raw_Data!F2:F51, "No", Raw_Data!K2:K51)</f>
        <v>193.33333333333334</v>
      </c>
      <c r="E35" s="3">
        <f>SUMIF(Raw_Data!F2:F51, "No", Raw_Data!G2:G51)</f>
        <v>47</v>
      </c>
      <c r="F35" s="3">
        <f>SUMIF(Raw_Data!F2:F51, "No", Raw_Data!H2:H51)</f>
        <v>103</v>
      </c>
      <c r="G35" s="3">
        <f>SUMIF(Raw_Data!F2:F51, "No", Raw_Data!I2:I51)</f>
        <v>39</v>
      </c>
      <c r="H35" s="3">
        <f>COUNTIFS(Raw_Data!F2:F51, "no", Raw_Data!J2:J51, "yes")</f>
        <v>4</v>
      </c>
      <c r="I35" s="3">
        <f>COUNTIFS(Raw_Data!F2:F51, "no", Raw_Data!J2:J51, "no")</f>
        <v>8</v>
      </c>
      <c r="J35" s="3">
        <f>AVERAGEIF(Raw_Data!F2:F51, "No", Raw_Data!D2:D51)</f>
        <v>25.833333333333332</v>
      </c>
    </row>
    <row r="37" spans="1:10" x14ac:dyDescent="0.25">
      <c r="A37" s="8" t="s">
        <v>92</v>
      </c>
    </row>
    <row r="38" spans="1:10" x14ac:dyDescent="0.25">
      <c r="A38" s="7" t="s">
        <v>94</v>
      </c>
      <c r="B38" t="s">
        <v>89</v>
      </c>
    </row>
    <row r="39" spans="1:10" x14ac:dyDescent="0.25">
      <c r="A39" s="8" t="s">
        <v>27</v>
      </c>
      <c r="B39">
        <v>1500</v>
      </c>
    </row>
    <row r="40" spans="1:10" x14ac:dyDescent="0.25">
      <c r="A40" s="8" t="s">
        <v>11</v>
      </c>
      <c r="B40">
        <v>1500</v>
      </c>
    </row>
    <row r="41" spans="1:10" x14ac:dyDescent="0.25">
      <c r="A41" s="8" t="s">
        <v>16</v>
      </c>
      <c r="B41">
        <v>1410</v>
      </c>
    </row>
    <row r="42" spans="1:10" x14ac:dyDescent="0.25">
      <c r="A42" s="8" t="s">
        <v>19</v>
      </c>
      <c r="B42">
        <v>1215</v>
      </c>
    </row>
    <row r="43" spans="1:10" x14ac:dyDescent="0.25">
      <c r="A43" s="8" t="s">
        <v>21</v>
      </c>
      <c r="B43">
        <v>1305</v>
      </c>
    </row>
    <row r="44" spans="1:10" x14ac:dyDescent="0.25">
      <c r="A44" s="8" t="s">
        <v>23</v>
      </c>
      <c r="B44">
        <v>1450</v>
      </c>
    </row>
    <row r="45" spans="1:10" x14ac:dyDescent="0.25">
      <c r="A45" s="8" t="s">
        <v>25</v>
      </c>
      <c r="B45">
        <v>1310</v>
      </c>
    </row>
    <row r="46" spans="1:10" x14ac:dyDescent="0.25">
      <c r="A46" s="8" t="s">
        <v>90</v>
      </c>
    </row>
    <row r="47" spans="1:10" x14ac:dyDescent="0.25">
      <c r="A47" s="8" t="s">
        <v>91</v>
      </c>
      <c r="B47">
        <v>9690</v>
      </c>
    </row>
    <row r="48" spans="1:10" x14ac:dyDescent="0.25">
      <c r="A48" s="8" t="s">
        <v>124</v>
      </c>
    </row>
    <row r="50" spans="1:6" x14ac:dyDescent="0.25">
      <c r="A50" t="s">
        <v>95</v>
      </c>
    </row>
    <row r="51" spans="1:6" x14ac:dyDescent="0.25">
      <c r="A51" s="13" t="s">
        <v>96</v>
      </c>
      <c r="B51" s="13"/>
    </row>
    <row r="52" spans="1:6" x14ac:dyDescent="0.25">
      <c r="A52" s="4" t="s">
        <v>97</v>
      </c>
      <c r="B52" s="3">
        <f>SUM(Raw_Data!H2:H51)</f>
        <v>415</v>
      </c>
    </row>
    <row r="53" spans="1:6" x14ac:dyDescent="0.25">
      <c r="A53" s="3" t="s">
        <v>98</v>
      </c>
      <c r="B53" s="3">
        <f>SUM(Raw_Data!I2:I51)</f>
        <v>180</v>
      </c>
    </row>
    <row r="54" spans="1:6" x14ac:dyDescent="0.25">
      <c r="A54" s="3" t="s">
        <v>8</v>
      </c>
      <c r="B54" s="3">
        <f>COUNTIF(Raw_Data!J:J, "Yes")</f>
        <v>14</v>
      </c>
    </row>
    <row r="55" spans="1:6" x14ac:dyDescent="0.25">
      <c r="A55" t="s">
        <v>118</v>
      </c>
    </row>
    <row r="57" spans="1:6" x14ac:dyDescent="0.25">
      <c r="A57" t="s">
        <v>99</v>
      </c>
    </row>
    <row r="58" spans="1:6" x14ac:dyDescent="0.25">
      <c r="A58" s="13" t="s">
        <v>101</v>
      </c>
      <c r="B58" s="13"/>
      <c r="C58" s="13" t="s">
        <v>3</v>
      </c>
      <c r="D58" s="13"/>
      <c r="E58" s="13" t="s">
        <v>8</v>
      </c>
      <c r="F58" s="13"/>
    </row>
    <row r="59" spans="1:6" x14ac:dyDescent="0.25">
      <c r="A59" s="5" t="s">
        <v>93</v>
      </c>
      <c r="B59" s="5" t="s">
        <v>83</v>
      </c>
      <c r="C59" s="5" t="s">
        <v>12</v>
      </c>
      <c r="D59" s="5" t="s">
        <v>17</v>
      </c>
      <c r="E59" s="5" t="s">
        <v>13</v>
      </c>
      <c r="F59" s="5" t="s">
        <v>14</v>
      </c>
    </row>
    <row r="60" spans="1:6" x14ac:dyDescent="0.25">
      <c r="A60" s="3" t="s">
        <v>13</v>
      </c>
      <c r="B60" s="3">
        <f>B34</f>
        <v>38</v>
      </c>
      <c r="C60" s="3">
        <f>COUNTIFS(Raw_Data!F2:F51,"yes", Raw_Data!E2:E51, "male")</f>
        <v>23</v>
      </c>
      <c r="D60" s="3">
        <f>COUNTIFS(Raw_Data!F2:F51,"yes", Raw_Data!E2:E51, "female")</f>
        <v>15</v>
      </c>
      <c r="E60" s="3">
        <f>COUNTIFS(Raw_Data!F2:F51, "yes", Raw_Data!J2:J51, "yes")</f>
        <v>10</v>
      </c>
      <c r="F60" s="3">
        <f>COUNTIFS(Raw_Data!F2:F51, "yes", Raw_Data!J2:J51, "no")</f>
        <v>28</v>
      </c>
    </row>
    <row r="61" spans="1:6" x14ac:dyDescent="0.25">
      <c r="A61" s="3" t="s">
        <v>14</v>
      </c>
      <c r="B61" s="3">
        <f>B35</f>
        <v>12</v>
      </c>
      <c r="C61" s="3">
        <f>COUNTIFS(Raw_Data!F2:F51,"no", Raw_Data!E2:E51, "male")</f>
        <v>5</v>
      </c>
      <c r="D61" s="3">
        <f>COUNTIFS(Raw_Data!F2:F51,"no", Raw_Data!E2:E51, "female")</f>
        <v>7</v>
      </c>
      <c r="E61" s="3">
        <f>COUNTIFS(Raw_Data!F2:F51, "no", Raw_Data!J2:J51, "yes")</f>
        <v>4</v>
      </c>
      <c r="F61" s="3">
        <f>COUNTIFS(Raw_Data!F2:F51, "no", Raw_Data!J2:J51, "no")</f>
        <v>8</v>
      </c>
    </row>
    <row r="63" spans="1:6" x14ac:dyDescent="0.25">
      <c r="A63" t="s">
        <v>119</v>
      </c>
    </row>
    <row r="65" spans="1:2" x14ac:dyDescent="0.25">
      <c r="A65" s="13" t="s">
        <v>120</v>
      </c>
      <c r="B65" s="13"/>
    </row>
    <row r="66" spans="1:2" x14ac:dyDescent="0.25">
      <c r="A66" s="5" t="s">
        <v>121</v>
      </c>
      <c r="B66" s="5" t="s">
        <v>122</v>
      </c>
    </row>
    <row r="67" spans="1:2" x14ac:dyDescent="0.25">
      <c r="A67" s="3" t="s">
        <v>11</v>
      </c>
      <c r="B67" s="3">
        <f>SUMIF(Raw_Data!C2:C51, "Mon", Raw_Data!K2:K51)</f>
        <v>1500</v>
      </c>
    </row>
    <row r="68" spans="1:2" x14ac:dyDescent="0.25">
      <c r="A68" s="3" t="s">
        <v>16</v>
      </c>
      <c r="B68" s="3">
        <f>SUMIF(Raw_Data!C2:C51, "Tue", Raw_Data!K2:K51)</f>
        <v>1410</v>
      </c>
    </row>
    <row r="69" spans="1:2" x14ac:dyDescent="0.25">
      <c r="A69" s="3" t="s">
        <v>19</v>
      </c>
      <c r="B69" s="3">
        <f>SUMIF(Raw_Data!C2:C51, "Wed", Raw_Data!K2:K51)</f>
        <v>1215</v>
      </c>
    </row>
    <row r="70" spans="1:2" x14ac:dyDescent="0.25">
      <c r="A70" s="3" t="s">
        <v>21</v>
      </c>
      <c r="B70" s="3">
        <f>SUMIF(Raw_Data!C2:C51, "Thu", Raw_Data!K2:K51)</f>
        <v>1305</v>
      </c>
    </row>
    <row r="71" spans="1:2" x14ac:dyDescent="0.25">
      <c r="A71" s="3" t="s">
        <v>23</v>
      </c>
      <c r="B71" s="3">
        <f>SUMIF(Raw_Data!C2:C51, "Fri", Raw_Data!K2:K51)</f>
        <v>1450</v>
      </c>
    </row>
    <row r="72" spans="1:2" x14ac:dyDescent="0.25">
      <c r="A72" s="3" t="s">
        <v>25</v>
      </c>
      <c r="B72" s="3">
        <f>SUMIF(Raw_Data!C2:C51, "Sat", Raw_Data!K2:K51)</f>
        <v>1310</v>
      </c>
    </row>
    <row r="73" spans="1:2" x14ac:dyDescent="0.25">
      <c r="A73" s="3" t="s">
        <v>27</v>
      </c>
      <c r="B73" s="3">
        <f>SUMIF(Raw_Data!C2:C51, "Sun", Raw_Data!K2:K51)</f>
        <v>1500</v>
      </c>
    </row>
    <row r="74" spans="1:2" x14ac:dyDescent="0.25">
      <c r="A74" s="3" t="s">
        <v>83</v>
      </c>
      <c r="B74" s="3">
        <f>SUM(B67:B73)</f>
        <v>9690</v>
      </c>
    </row>
    <row r="81" spans="1:2" x14ac:dyDescent="0.25">
      <c r="A81" s="5" t="s">
        <v>123</v>
      </c>
      <c r="B81" s="5" t="s">
        <v>83</v>
      </c>
    </row>
    <row r="82" spans="1:2" x14ac:dyDescent="0.25">
      <c r="A82" s="3" t="s">
        <v>107</v>
      </c>
      <c r="B82" s="3">
        <f>SUM(Raw_Data!G2:G51)</f>
        <v>199</v>
      </c>
    </row>
    <row r="83" spans="1:2" x14ac:dyDescent="0.25">
      <c r="A83" s="3" t="s">
        <v>109</v>
      </c>
      <c r="B83" s="3">
        <f>SUM(Raw_Data!H2:H51)</f>
        <v>415</v>
      </c>
    </row>
    <row r="84" spans="1:2" x14ac:dyDescent="0.25">
      <c r="A84" s="3" t="s">
        <v>110</v>
      </c>
      <c r="B84" s="3">
        <f>SUM(Raw_Data!I2:I51)</f>
        <v>180</v>
      </c>
    </row>
    <row r="85" spans="1:2" x14ac:dyDescent="0.25">
      <c r="A85" s="3" t="s">
        <v>8</v>
      </c>
      <c r="B85" s="3">
        <f>COUNTIF(Raw_Data!J2:J51, "yes")</f>
        <v>14</v>
      </c>
    </row>
    <row r="95" spans="1:2" x14ac:dyDescent="0.25">
      <c r="A95" s="1" t="s">
        <v>125</v>
      </c>
    </row>
    <row r="96" spans="1:2" x14ac:dyDescent="0.25">
      <c r="A96" s="11" t="s">
        <v>93</v>
      </c>
      <c r="B96" s="12"/>
    </row>
    <row r="97" spans="1:2" x14ac:dyDescent="0.25">
      <c r="A97" s="3" t="s">
        <v>13</v>
      </c>
      <c r="B97" s="3">
        <f>B34</f>
        <v>38</v>
      </c>
    </row>
    <row r="98" spans="1:2" x14ac:dyDescent="0.25">
      <c r="A98" s="3" t="s">
        <v>14</v>
      </c>
      <c r="B98" s="3">
        <f>B35</f>
        <v>12</v>
      </c>
    </row>
    <row r="110" spans="1:2" x14ac:dyDescent="0.25">
      <c r="A110" s="11" t="s">
        <v>3</v>
      </c>
      <c r="B110" s="12"/>
    </row>
    <row r="111" spans="1:2" x14ac:dyDescent="0.25">
      <c r="A111" s="3" t="s">
        <v>12</v>
      </c>
      <c r="B111" s="3">
        <f>C60+C61</f>
        <v>28</v>
      </c>
    </row>
    <row r="112" spans="1:2" x14ac:dyDescent="0.25">
      <c r="A112" s="3" t="s">
        <v>17</v>
      </c>
      <c r="B112" s="3">
        <f>D60+D61</f>
        <v>22</v>
      </c>
    </row>
    <row r="125" spans="1:2" x14ac:dyDescent="0.25">
      <c r="A125" s="11" t="s">
        <v>8</v>
      </c>
      <c r="B125" s="12"/>
    </row>
    <row r="126" spans="1:2" x14ac:dyDescent="0.25">
      <c r="A126" s="3" t="s">
        <v>13</v>
      </c>
      <c r="B126" s="3">
        <f>E60+E61</f>
        <v>14</v>
      </c>
    </row>
    <row r="127" spans="1:2" x14ac:dyDescent="0.25">
      <c r="A127" s="3" t="s">
        <v>14</v>
      </c>
      <c r="B127" s="3">
        <f>F60+F61</f>
        <v>36</v>
      </c>
    </row>
    <row r="140" spans="1:2" x14ac:dyDescent="0.25">
      <c r="A140" t="s">
        <v>126</v>
      </c>
    </row>
    <row r="141" spans="1:2" x14ac:dyDescent="0.25">
      <c r="A141" s="5" t="s">
        <v>128</v>
      </c>
      <c r="B141" s="3">
        <f>CORREL(Raw_Data!G2:G51, Raw_Data!K2:K51)</f>
        <v>0.75563076563881271</v>
      </c>
    </row>
    <row r="142" spans="1:2" x14ac:dyDescent="0.25">
      <c r="A142" t="s">
        <v>127</v>
      </c>
    </row>
    <row r="144" spans="1:2" x14ac:dyDescent="0.25">
      <c r="A144" t="s">
        <v>129</v>
      </c>
    </row>
    <row r="145" spans="1:3" x14ac:dyDescent="0.25">
      <c r="A145" s="5" t="s">
        <v>131</v>
      </c>
      <c r="B145" s="5" t="s">
        <v>0</v>
      </c>
      <c r="C145" s="5" t="s">
        <v>130</v>
      </c>
    </row>
    <row r="146" spans="1:3" x14ac:dyDescent="0.25">
      <c r="A146" s="6">
        <v>1</v>
      </c>
      <c r="B146" s="3" t="str">
        <f>INDEX(Raw_Data!A2:A51, MATCH(LARGE(Raw_Data!K2:K51, 1), Raw_Data!K2:K51, 0))</f>
        <v>T1025</v>
      </c>
      <c r="C146" s="3">
        <f>LARGE(Raw_Data!K2:K51, 1)</f>
        <v>365</v>
      </c>
    </row>
    <row r="147" spans="1:3" x14ac:dyDescent="0.25">
      <c r="A147" s="6">
        <v>2</v>
      </c>
      <c r="B147" s="3" t="str">
        <f>INDEX(Raw_Data!A2:A51, MATCH(LARGE(Raw_Data!K2:K51, 2), Raw_Data!K2:K51, 0))</f>
        <v>T1026</v>
      </c>
      <c r="C147" s="3">
        <f>LARGE(Raw_Data!K2:K51, 2)</f>
        <v>340</v>
      </c>
    </row>
    <row r="148" spans="1:3" x14ac:dyDescent="0.25">
      <c r="A148" s="6">
        <v>3</v>
      </c>
      <c r="B148" s="3" t="str">
        <f>INDEX(Raw_Data!A2:A51, MATCH(LARGE(Raw_Data!K2:K51, 3), Raw_Data!K2:K51, 0))</f>
        <v>T1031</v>
      </c>
      <c r="C148" s="3">
        <f>LARGE(Raw_Data!K2:K51, 3)</f>
        <v>310</v>
      </c>
    </row>
    <row r="149" spans="1:3" x14ac:dyDescent="0.25">
      <c r="A149" s="6">
        <v>4</v>
      </c>
      <c r="B149" s="3" t="str">
        <f>INDEX(Raw_Data!A2:A51, MATCH(LARGE(Raw_Data!K2:K51, 4), Raw_Data!K2:K51, 0))</f>
        <v>T1022</v>
      </c>
      <c r="C149" s="3">
        <f>LARGE(Raw_Data!K2:K51, 4)</f>
        <v>285</v>
      </c>
    </row>
    <row r="150" spans="1:3" x14ac:dyDescent="0.25">
      <c r="A150" s="6">
        <v>5</v>
      </c>
      <c r="B150" s="3" t="str">
        <f>INDEX(Raw_Data!A2:A51, MATCH(LARGE(Raw_Data!K2:K51, 5), Raw_Data!K2:K51, 0))</f>
        <v>T1001</v>
      </c>
      <c r="C150" s="3">
        <f>LARGE(Raw_Data!K2:K51, 5)</f>
        <v>270</v>
      </c>
    </row>
  </sheetData>
  <mergeCells count="10">
    <mergeCell ref="A14:F14"/>
    <mergeCell ref="C58:D58"/>
    <mergeCell ref="A24:B24"/>
    <mergeCell ref="A51:B51"/>
    <mergeCell ref="A125:B125"/>
    <mergeCell ref="E58:F58"/>
    <mergeCell ref="A58:B58"/>
    <mergeCell ref="A65:B65"/>
    <mergeCell ref="A110:B110"/>
    <mergeCell ref="A96:B96"/>
  </mergeCells>
  <phoneticPr fontId="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C8FC-C518-479A-B461-E813573D5DF9}">
  <dimension ref="A1:A18"/>
  <sheetViews>
    <sheetView tabSelected="1" workbookViewId="0">
      <selection activeCell="L20" sqref="L20"/>
    </sheetView>
  </sheetViews>
  <sheetFormatPr defaultRowHeight="15" x14ac:dyDescent="0.25"/>
  <sheetData>
    <row r="1" spans="1:1" ht="15.75" x14ac:dyDescent="0.25">
      <c r="A1" s="15" t="s">
        <v>132</v>
      </c>
    </row>
    <row r="2" spans="1:1" ht="15.75" x14ac:dyDescent="0.25">
      <c r="A2" s="16" t="s">
        <v>133</v>
      </c>
    </row>
    <row r="3" spans="1:1" ht="15.75" x14ac:dyDescent="0.25">
      <c r="A3" s="17" t="s">
        <v>134</v>
      </c>
    </row>
    <row r="4" spans="1:1" ht="15.75" x14ac:dyDescent="0.25">
      <c r="A4" s="18" t="s">
        <v>135</v>
      </c>
    </row>
    <row r="5" spans="1:1" ht="15.75" x14ac:dyDescent="0.25">
      <c r="A5" s="19" t="s">
        <v>136</v>
      </c>
    </row>
    <row r="6" spans="1:1" ht="15.75" x14ac:dyDescent="0.25">
      <c r="A6" s="18" t="s">
        <v>137</v>
      </c>
    </row>
    <row r="7" spans="1:1" ht="15.75" x14ac:dyDescent="0.25">
      <c r="A7" s="17" t="s">
        <v>138</v>
      </c>
    </row>
    <row r="8" spans="1:1" ht="15.75" x14ac:dyDescent="0.25">
      <c r="A8" s="18" t="s">
        <v>139</v>
      </c>
    </row>
    <row r="9" spans="1:1" ht="15.75" x14ac:dyDescent="0.25">
      <c r="A9" s="19" t="s">
        <v>140</v>
      </c>
    </row>
    <row r="10" spans="1:1" ht="15.75" x14ac:dyDescent="0.25">
      <c r="A10" s="18" t="s">
        <v>141</v>
      </c>
    </row>
    <row r="11" spans="1:1" ht="15.75" x14ac:dyDescent="0.25">
      <c r="A11" s="17" t="s">
        <v>142</v>
      </c>
    </row>
    <row r="12" spans="1:1" ht="15.75" x14ac:dyDescent="0.25">
      <c r="A12" s="18" t="s">
        <v>143</v>
      </c>
    </row>
    <row r="13" spans="1:1" ht="15.75" x14ac:dyDescent="0.25">
      <c r="A13" s="19" t="s">
        <v>144</v>
      </c>
    </row>
    <row r="14" spans="1:1" ht="15.75" x14ac:dyDescent="0.25">
      <c r="A14" s="19" t="s">
        <v>145</v>
      </c>
    </row>
    <row r="15" spans="1:1" ht="15.75" x14ac:dyDescent="0.25">
      <c r="A15" s="18" t="s">
        <v>146</v>
      </c>
    </row>
    <row r="16" spans="1:1" ht="15.75" x14ac:dyDescent="0.25">
      <c r="A16" s="17" t="s">
        <v>147</v>
      </c>
    </row>
    <row r="17" spans="1:1" ht="15.75" x14ac:dyDescent="0.25">
      <c r="A17" s="18" t="s">
        <v>148</v>
      </c>
    </row>
    <row r="18" spans="1:1" ht="15.75" x14ac:dyDescent="0.25">
      <c r="A18" s="18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Submission_Info</vt:lpstr>
      <vt:lpstr>Data_Dictionary</vt:lpstr>
      <vt:lpstr>Raw_Data</vt:lpstr>
      <vt:lpstr>Exam_Tasks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DCSA-PC 07</dc:creator>
  <cp:lastModifiedBy>LAWRENCE</cp:lastModifiedBy>
  <dcterms:created xsi:type="dcterms:W3CDTF">2026-09-17T10:41:24Z</dcterms:created>
  <dcterms:modified xsi:type="dcterms:W3CDTF">2026-09-17T15:52:56Z</dcterms:modified>
</cp:coreProperties>
</file>